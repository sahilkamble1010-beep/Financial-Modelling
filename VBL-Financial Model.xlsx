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6C3A918-7C3F-4AF4-8FD6-6811B0EC4DE6}" xr6:coauthVersionLast="47" xr6:coauthVersionMax="47" xr10:uidLastSave="{00000000-0000-0000-0000-000000000000}"/>
  <bookViews>
    <workbookView xWindow="-120" yWindow="-120" windowWidth="29040" windowHeight="15720" xr2:uid="{F86DC886-CE9C-476D-8D2D-D205ACA51194}"/>
  </bookViews>
  <sheets>
    <sheet name="Main Model" sheetId="4" r:id="rId1"/>
    <sheet name="Term Loans" sheetId="3" r:id="rId2"/>
    <sheet name="Spare" sheetId="6" r:id="rId3"/>
    <sheet name="Sheet1" sheetId="7" r:id="rId4"/>
  </sheet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95" i="4" l="1"/>
  <c r="J577" i="4"/>
  <c r="J576" i="4"/>
  <c r="J589" i="6"/>
  <c r="J579" i="6"/>
  <c r="F563" i="6"/>
  <c r="J554" i="6"/>
  <c r="J547" i="6"/>
  <c r="I547" i="6"/>
  <c r="H547" i="6"/>
  <c r="G547" i="6"/>
  <c r="F547" i="6"/>
  <c r="J544" i="6"/>
  <c r="J543" i="6"/>
  <c r="K543" i="6" s="1"/>
  <c r="L543" i="6" s="1"/>
  <c r="L112" i="6" s="1"/>
  <c r="I543" i="6"/>
  <c r="H543" i="6"/>
  <c r="G543" i="6"/>
  <c r="F543" i="6"/>
  <c r="H541" i="6"/>
  <c r="G541" i="6"/>
  <c r="J540" i="6"/>
  <c r="I540" i="6"/>
  <c r="I541" i="6" s="1"/>
  <c r="H540" i="6"/>
  <c r="G540" i="6"/>
  <c r="F540" i="6"/>
  <c r="J521" i="6"/>
  <c r="J510" i="6"/>
  <c r="I510" i="6"/>
  <c r="H510" i="6"/>
  <c r="G510" i="6"/>
  <c r="F510" i="6"/>
  <c r="J509" i="6"/>
  <c r="I509" i="6"/>
  <c r="H509" i="6"/>
  <c r="G509" i="6"/>
  <c r="F509" i="6"/>
  <c r="J498" i="6"/>
  <c r="J491" i="6"/>
  <c r="K491" i="6" s="1"/>
  <c r="L491" i="6" s="1"/>
  <c r="M491" i="6" s="1"/>
  <c r="N491" i="6" s="1"/>
  <c r="O491" i="6" s="1"/>
  <c r="J490" i="6"/>
  <c r="J488" i="6"/>
  <c r="J486" i="6"/>
  <c r="K484" i="6"/>
  <c r="K483" i="6"/>
  <c r="J481" i="6"/>
  <c r="K478" i="6"/>
  <c r="K477" i="6"/>
  <c r="K481" i="6" s="1"/>
  <c r="L477" i="6" s="1"/>
  <c r="M475" i="6"/>
  <c r="N475" i="6" s="1"/>
  <c r="O475" i="6" s="1"/>
  <c r="K475" i="6"/>
  <c r="L475" i="6" s="1"/>
  <c r="J471" i="6"/>
  <c r="K470" i="6"/>
  <c r="K469" i="6"/>
  <c r="O467" i="6"/>
  <c r="O156" i="6" s="1"/>
  <c r="N467" i="6"/>
  <c r="K467" i="6"/>
  <c r="L467" i="6" s="1"/>
  <c r="M467" i="6" s="1"/>
  <c r="L466" i="6"/>
  <c r="M466" i="6" s="1"/>
  <c r="N466" i="6" s="1"/>
  <c r="K466" i="6"/>
  <c r="J465" i="6"/>
  <c r="O447" i="6"/>
  <c r="L447" i="6"/>
  <c r="M447" i="6" s="1"/>
  <c r="N447" i="6" s="1"/>
  <c r="K447" i="6"/>
  <c r="O446" i="6"/>
  <c r="K446" i="6"/>
  <c r="L446" i="6" s="1"/>
  <c r="M446" i="6" s="1"/>
  <c r="N446" i="6" s="1"/>
  <c r="O443" i="6"/>
  <c r="N443" i="6"/>
  <c r="M443" i="6"/>
  <c r="L443" i="6"/>
  <c r="K443" i="6"/>
  <c r="O442" i="6"/>
  <c r="N442" i="6"/>
  <c r="M442" i="6"/>
  <c r="M210" i="6" s="1"/>
  <c r="L442" i="6"/>
  <c r="L210" i="6" s="1"/>
  <c r="K442" i="6"/>
  <c r="O441" i="6"/>
  <c r="N441" i="6"/>
  <c r="M441" i="6"/>
  <c r="L441" i="6"/>
  <c r="L203" i="6" s="1"/>
  <c r="K441" i="6"/>
  <c r="K203" i="6" s="1"/>
  <c r="K437" i="6"/>
  <c r="J434" i="6"/>
  <c r="K432" i="6"/>
  <c r="K422" i="6"/>
  <c r="J420" i="6"/>
  <c r="G419" i="6"/>
  <c r="E419" i="6"/>
  <c r="J418" i="6"/>
  <c r="J419" i="6" s="1"/>
  <c r="I418" i="6"/>
  <c r="I419" i="6" s="1"/>
  <c r="H418" i="6"/>
  <c r="G418" i="6"/>
  <c r="F418" i="6"/>
  <c r="J417" i="6"/>
  <c r="I417" i="6"/>
  <c r="H417" i="6"/>
  <c r="G417" i="6"/>
  <c r="F417" i="6"/>
  <c r="J402" i="6"/>
  <c r="I402" i="6"/>
  <c r="J403" i="6" s="1"/>
  <c r="H402" i="6"/>
  <c r="G402" i="6"/>
  <c r="F402" i="6"/>
  <c r="J400" i="6"/>
  <c r="I400" i="6"/>
  <c r="J401" i="6" s="1"/>
  <c r="H400" i="6"/>
  <c r="G400" i="6"/>
  <c r="F400" i="6"/>
  <c r="J395" i="6"/>
  <c r="I395" i="6"/>
  <c r="H395" i="6"/>
  <c r="G395" i="6"/>
  <c r="F395" i="6"/>
  <c r="F394" i="6"/>
  <c r="J390" i="6"/>
  <c r="K386" i="6" s="1"/>
  <c r="I390" i="6"/>
  <c r="H390" i="6"/>
  <c r="G390" i="6"/>
  <c r="F390" i="6"/>
  <c r="J384" i="6"/>
  <c r="I384" i="6"/>
  <c r="H384" i="6"/>
  <c r="G384" i="6"/>
  <c r="G394" i="6" s="1"/>
  <c r="F384" i="6"/>
  <c r="J375" i="6"/>
  <c r="I375" i="6"/>
  <c r="H375" i="6"/>
  <c r="G375" i="6"/>
  <c r="F375" i="6"/>
  <c r="J376" i="6" s="1"/>
  <c r="J373" i="6"/>
  <c r="I373" i="6"/>
  <c r="H373" i="6"/>
  <c r="G373" i="6"/>
  <c r="F373" i="6"/>
  <c r="J374" i="6" s="1"/>
  <c r="J368" i="6"/>
  <c r="I368" i="6"/>
  <c r="H368" i="6"/>
  <c r="G368" i="6"/>
  <c r="F368" i="6"/>
  <c r="J363" i="6"/>
  <c r="I363" i="6"/>
  <c r="H363" i="6"/>
  <c r="G363" i="6"/>
  <c r="F363" i="6"/>
  <c r="K359" i="6"/>
  <c r="F356" i="6"/>
  <c r="K355" i="6"/>
  <c r="F355" i="6"/>
  <c r="F354" i="6"/>
  <c r="F357" i="6" s="1"/>
  <c r="F353" i="6"/>
  <c r="J349" i="6"/>
  <c r="K345" i="6" s="1"/>
  <c r="K347" i="6"/>
  <c r="L347" i="6" s="1"/>
  <c r="M347" i="6" s="1"/>
  <c r="N347" i="6" s="1"/>
  <c r="O347" i="6" s="1"/>
  <c r="J342" i="6"/>
  <c r="K336" i="6"/>
  <c r="O322" i="6"/>
  <c r="N322" i="6"/>
  <c r="M322" i="6"/>
  <c r="L322" i="6"/>
  <c r="K322" i="6"/>
  <c r="K321" i="6"/>
  <c r="K320" i="6"/>
  <c r="J298" i="6"/>
  <c r="H298" i="6"/>
  <c r="J297" i="6"/>
  <c r="I297" i="6"/>
  <c r="H297" i="6"/>
  <c r="G297" i="6"/>
  <c r="G298" i="6" s="1"/>
  <c r="F297" i="6"/>
  <c r="F298" i="6" s="1"/>
  <c r="J296" i="6"/>
  <c r="I296" i="6"/>
  <c r="I298" i="6" s="1"/>
  <c r="H296" i="6"/>
  <c r="G296" i="6"/>
  <c r="F296" i="6"/>
  <c r="L294" i="6"/>
  <c r="M294" i="6" s="1"/>
  <c r="K294" i="6"/>
  <c r="K212" i="6" s="1"/>
  <c r="J294" i="6"/>
  <c r="J293" i="6"/>
  <c r="J292" i="6"/>
  <c r="J290" i="6"/>
  <c r="J289" i="6"/>
  <c r="J288" i="6"/>
  <c r="J284" i="6"/>
  <c r="J271" i="6"/>
  <c r="I271" i="6"/>
  <c r="H271" i="6"/>
  <c r="G271" i="6"/>
  <c r="F271" i="6"/>
  <c r="J266" i="6"/>
  <c r="I266" i="6"/>
  <c r="H266" i="6"/>
  <c r="G266" i="6"/>
  <c r="F266" i="6"/>
  <c r="J261" i="6"/>
  <c r="I261" i="6"/>
  <c r="I262" i="6" s="1"/>
  <c r="H261" i="6"/>
  <c r="G261" i="6"/>
  <c r="F261" i="6"/>
  <c r="J255" i="6"/>
  <c r="I255" i="6"/>
  <c r="H255" i="6"/>
  <c r="G255" i="6"/>
  <c r="F255" i="6"/>
  <c r="I254" i="6"/>
  <c r="I267" i="6" s="1"/>
  <c r="H254" i="6"/>
  <c r="G245" i="6"/>
  <c r="F245" i="6"/>
  <c r="J244" i="6"/>
  <c r="J245" i="6" s="1"/>
  <c r="I244" i="6"/>
  <c r="I245" i="6" s="1"/>
  <c r="H244" i="6"/>
  <c r="H245" i="6" s="1"/>
  <c r="G244" i="6"/>
  <c r="F244" i="6"/>
  <c r="K238" i="6"/>
  <c r="L238" i="6" s="1"/>
  <c r="J238" i="6"/>
  <c r="I238" i="6"/>
  <c r="H238" i="6"/>
  <c r="G238" i="6"/>
  <c r="F238" i="6"/>
  <c r="J237" i="6"/>
  <c r="I237" i="6"/>
  <c r="H237" i="6"/>
  <c r="G237" i="6"/>
  <c r="F237" i="6"/>
  <c r="J235" i="6"/>
  <c r="I235" i="6"/>
  <c r="H235" i="6"/>
  <c r="G235" i="6"/>
  <c r="F235" i="6"/>
  <c r="J230" i="6"/>
  <c r="I230" i="6"/>
  <c r="H230" i="6"/>
  <c r="G230" i="6"/>
  <c r="F230" i="6"/>
  <c r="J217" i="6"/>
  <c r="I217" i="6"/>
  <c r="H217" i="6"/>
  <c r="H218" i="6" s="1"/>
  <c r="H219" i="6" s="1"/>
  <c r="M171" i="6" s="1"/>
  <c r="G217" i="6"/>
  <c r="G218" i="6" s="1"/>
  <c r="F217" i="6"/>
  <c r="F218" i="6" s="1"/>
  <c r="L216" i="6"/>
  <c r="M216" i="6" s="1"/>
  <c r="N216" i="6" s="1"/>
  <c r="O216" i="6" s="1"/>
  <c r="K216" i="6"/>
  <c r="L212" i="6"/>
  <c r="M211" i="6"/>
  <c r="N211" i="6" s="1"/>
  <c r="O211" i="6" s="1"/>
  <c r="K211" i="6"/>
  <c r="L211" i="6" s="1"/>
  <c r="O210" i="6"/>
  <c r="N210" i="6"/>
  <c r="K210" i="6"/>
  <c r="J206" i="6"/>
  <c r="I206" i="6"/>
  <c r="I218" i="6" s="1"/>
  <c r="H206" i="6"/>
  <c r="G206" i="6"/>
  <c r="F206" i="6"/>
  <c r="K204" i="6"/>
  <c r="L204" i="6" s="1"/>
  <c r="O203" i="6"/>
  <c r="N203" i="6"/>
  <c r="M203" i="6"/>
  <c r="J199" i="6"/>
  <c r="N198" i="6"/>
  <c r="O198" i="6" s="1"/>
  <c r="L198" i="6"/>
  <c r="M198" i="6" s="1"/>
  <c r="K198" i="6"/>
  <c r="J197" i="6"/>
  <c r="I197" i="6"/>
  <c r="I199" i="6" s="1"/>
  <c r="H197" i="6"/>
  <c r="H199" i="6" s="1"/>
  <c r="G197" i="6"/>
  <c r="G199" i="6" s="1"/>
  <c r="F197" i="6"/>
  <c r="F199" i="6" s="1"/>
  <c r="F219" i="6" s="1"/>
  <c r="L195" i="6"/>
  <c r="M195" i="6" s="1"/>
  <c r="N195" i="6" s="1"/>
  <c r="O195" i="6" s="1"/>
  <c r="K195" i="6"/>
  <c r="J191" i="6"/>
  <c r="K190" i="6"/>
  <c r="L190" i="6" s="1"/>
  <c r="M190" i="6" s="1"/>
  <c r="N190" i="6" s="1"/>
  <c r="O190" i="6" s="1"/>
  <c r="J189" i="6"/>
  <c r="I189" i="6"/>
  <c r="H189" i="6"/>
  <c r="G189" i="6"/>
  <c r="F189" i="6"/>
  <c r="N187" i="6"/>
  <c r="N418" i="6" s="1"/>
  <c r="M187" i="6"/>
  <c r="M418" i="6" s="1"/>
  <c r="L187" i="6"/>
  <c r="L418" i="6" s="1"/>
  <c r="K187" i="6"/>
  <c r="K418" i="6" s="1"/>
  <c r="J181" i="6"/>
  <c r="I181" i="6"/>
  <c r="I191" i="6" s="1"/>
  <c r="H181" i="6"/>
  <c r="H191" i="6" s="1"/>
  <c r="G181" i="6"/>
  <c r="G191" i="6" s="1"/>
  <c r="F181" i="6"/>
  <c r="F191" i="6" s="1"/>
  <c r="F171" i="6" s="1"/>
  <c r="K179" i="6"/>
  <c r="L179" i="6" s="1"/>
  <c r="M179" i="6" s="1"/>
  <c r="N179" i="6" s="1"/>
  <c r="O179" i="6" s="1"/>
  <c r="M176" i="6"/>
  <c r="L176" i="6"/>
  <c r="K176" i="6"/>
  <c r="F166" i="6"/>
  <c r="G164" i="6" s="1"/>
  <c r="J161" i="6"/>
  <c r="I161" i="6"/>
  <c r="H161" i="6"/>
  <c r="G161" i="6"/>
  <c r="F161" i="6"/>
  <c r="N156" i="6"/>
  <c r="M156" i="6"/>
  <c r="L156" i="6"/>
  <c r="K156" i="6"/>
  <c r="O155" i="6"/>
  <c r="O571" i="6" s="1"/>
  <c r="N155" i="6"/>
  <c r="N571" i="6" s="1"/>
  <c r="K155" i="6"/>
  <c r="K571" i="6" s="1"/>
  <c r="J151" i="6"/>
  <c r="I151" i="6"/>
  <c r="H151" i="6"/>
  <c r="G151" i="6"/>
  <c r="F151" i="6"/>
  <c r="F143" i="6"/>
  <c r="F163" i="6" s="1"/>
  <c r="F141" i="6"/>
  <c r="J134" i="6"/>
  <c r="J141" i="6" s="1"/>
  <c r="J143" i="6" s="1"/>
  <c r="I134" i="6"/>
  <c r="I141" i="6" s="1"/>
  <c r="I143" i="6" s="1"/>
  <c r="I163" i="6" s="1"/>
  <c r="H134" i="6"/>
  <c r="H141" i="6" s="1"/>
  <c r="H143" i="6" s="1"/>
  <c r="H163" i="6" s="1"/>
  <c r="G134" i="6"/>
  <c r="G141" i="6" s="1"/>
  <c r="G143" i="6" s="1"/>
  <c r="G163" i="6" s="1"/>
  <c r="G166" i="6" s="1"/>
  <c r="H164" i="6" s="1"/>
  <c r="F134" i="6"/>
  <c r="J102" i="6"/>
  <c r="I102" i="6"/>
  <c r="H102" i="6"/>
  <c r="G102" i="6"/>
  <c r="I100" i="6"/>
  <c r="I563" i="6" s="1"/>
  <c r="H100" i="6"/>
  <c r="H563" i="6" s="1"/>
  <c r="G100" i="6"/>
  <c r="G563" i="6" s="1"/>
  <c r="F100" i="6"/>
  <c r="J98" i="6"/>
  <c r="J100" i="6" s="1"/>
  <c r="J563" i="6" s="1"/>
  <c r="I98" i="6"/>
  <c r="H98" i="6"/>
  <c r="G98" i="6"/>
  <c r="F98" i="6"/>
  <c r="J87" i="6"/>
  <c r="I87" i="6"/>
  <c r="I562" i="6" s="1"/>
  <c r="H87" i="6"/>
  <c r="H562" i="6" s="1"/>
  <c r="G87" i="6"/>
  <c r="G562" i="6" s="1"/>
  <c r="F87" i="6"/>
  <c r="K76" i="6"/>
  <c r="K150" i="6" s="1"/>
  <c r="L70" i="6"/>
  <c r="L422" i="6" s="1"/>
  <c r="L69" i="6"/>
  <c r="L437" i="6" s="1"/>
  <c r="K62" i="6"/>
  <c r="K58" i="6"/>
  <c r="K319" i="6" s="1"/>
  <c r="K326" i="6" s="1"/>
  <c r="K147" i="6" s="1"/>
  <c r="L57" i="6"/>
  <c r="L320" i="6" s="1"/>
  <c r="N40" i="6"/>
  <c r="M37" i="6"/>
  <c r="L37" i="6"/>
  <c r="K37" i="6"/>
  <c r="L36" i="6"/>
  <c r="K36" i="6"/>
  <c r="O28" i="6"/>
  <c r="O41" i="6" s="1"/>
  <c r="N28" i="6"/>
  <c r="N41" i="6" s="1"/>
  <c r="M28" i="6"/>
  <c r="M41" i="6" s="1"/>
  <c r="L28" i="6"/>
  <c r="L41" i="6" s="1"/>
  <c r="K28" i="6"/>
  <c r="K41" i="6" s="1"/>
  <c r="O22" i="6"/>
  <c r="O37" i="6" s="1"/>
  <c r="N22" i="6"/>
  <c r="N37" i="6" s="1"/>
  <c r="M22" i="6"/>
  <c r="L22" i="6"/>
  <c r="K22" i="6"/>
  <c r="O16" i="6"/>
  <c r="O40" i="6" s="1"/>
  <c r="N16" i="6"/>
  <c r="M16" i="6"/>
  <c r="M40" i="6" s="1"/>
  <c r="L16" i="6"/>
  <c r="L40" i="6" s="1"/>
  <c r="K16" i="6"/>
  <c r="K40" i="6" s="1"/>
  <c r="K229" i="6" s="1"/>
  <c r="O10" i="6"/>
  <c r="O36" i="6" s="1"/>
  <c r="N10" i="6"/>
  <c r="N36" i="6" s="1"/>
  <c r="M10" i="6"/>
  <c r="M36" i="6" s="1"/>
  <c r="L10" i="6"/>
  <c r="K10" i="6"/>
  <c r="K228" i="6" s="1"/>
  <c r="K5" i="6"/>
  <c r="K82" i="6" s="1"/>
  <c r="K279" i="6" s="1"/>
  <c r="J279" i="6" s="1"/>
  <c r="I279" i="6" s="1"/>
  <c r="H279" i="6" s="1"/>
  <c r="G279" i="6" s="1"/>
  <c r="F279" i="6" s="1"/>
  <c r="J604" i="4"/>
  <c r="J593" i="4"/>
  <c r="J554" i="4"/>
  <c r="J547" i="4"/>
  <c r="I547" i="4"/>
  <c r="H547" i="4"/>
  <c r="G547" i="4"/>
  <c r="F547" i="4"/>
  <c r="J543" i="4"/>
  <c r="K543" i="4" s="1"/>
  <c r="L543" i="4" s="1"/>
  <c r="M543" i="4" s="1"/>
  <c r="I543" i="4"/>
  <c r="H543" i="4"/>
  <c r="G543" i="4"/>
  <c r="F543" i="4"/>
  <c r="J540" i="4"/>
  <c r="K540" i="4" s="1"/>
  <c r="L540" i="4" s="1"/>
  <c r="M540" i="4" s="1"/>
  <c r="N540" i="4" s="1"/>
  <c r="O540" i="4" s="1"/>
  <c r="O111" i="4" s="1"/>
  <c r="I540" i="4"/>
  <c r="H540" i="4"/>
  <c r="G540" i="4"/>
  <c r="F540" i="4"/>
  <c r="J510" i="4"/>
  <c r="I510" i="4"/>
  <c r="H510" i="4"/>
  <c r="G510" i="4"/>
  <c r="F510" i="4"/>
  <c r="J509" i="4"/>
  <c r="I509" i="4"/>
  <c r="H509" i="4"/>
  <c r="G509" i="4"/>
  <c r="F509" i="4"/>
  <c r="J498" i="4"/>
  <c r="J488" i="4"/>
  <c r="J486" i="4"/>
  <c r="K483" i="4" s="1"/>
  <c r="J481" i="4"/>
  <c r="K478" i="4"/>
  <c r="K475" i="4"/>
  <c r="L475" i="4" s="1"/>
  <c r="M475" i="4" s="1"/>
  <c r="N475" i="4" s="1"/>
  <c r="O475" i="4" s="1"/>
  <c r="J471" i="4"/>
  <c r="K469" i="4" s="1"/>
  <c r="K470" i="4"/>
  <c r="K467" i="4"/>
  <c r="K156" i="4" s="1"/>
  <c r="K466" i="4"/>
  <c r="L466" i="4" s="1"/>
  <c r="J465" i="4"/>
  <c r="K447" i="4"/>
  <c r="L447" i="4" s="1"/>
  <c r="M447" i="4" s="1"/>
  <c r="N447" i="4" s="1"/>
  <c r="O447" i="4" s="1"/>
  <c r="K446" i="4"/>
  <c r="L446" i="4" s="1"/>
  <c r="M446" i="4" s="1"/>
  <c r="N446" i="4" s="1"/>
  <c r="O446" i="4" s="1"/>
  <c r="O443" i="4"/>
  <c r="N443" i="4"/>
  <c r="M443" i="4"/>
  <c r="L443" i="4"/>
  <c r="K443" i="4"/>
  <c r="O442" i="4"/>
  <c r="O210" i="4" s="1"/>
  <c r="N442" i="4"/>
  <c r="N210" i="4" s="1"/>
  <c r="M442" i="4"/>
  <c r="M210" i="4" s="1"/>
  <c r="L442" i="4"/>
  <c r="L210" i="4" s="1"/>
  <c r="K442" i="4"/>
  <c r="K210" i="4" s="1"/>
  <c r="O441" i="4"/>
  <c r="O203" i="4" s="1"/>
  <c r="N441" i="4"/>
  <c r="N203" i="4" s="1"/>
  <c r="M441" i="4"/>
  <c r="M203" i="4" s="1"/>
  <c r="L441" i="4"/>
  <c r="K441" i="4"/>
  <c r="K203" i="4" s="1"/>
  <c r="K437" i="4"/>
  <c r="J434" i="4"/>
  <c r="K432" i="4" s="1"/>
  <c r="K422" i="4"/>
  <c r="E419" i="4"/>
  <c r="J418" i="4"/>
  <c r="I418" i="4"/>
  <c r="H418" i="4"/>
  <c r="G418" i="4"/>
  <c r="F418" i="4"/>
  <c r="J417" i="4"/>
  <c r="I417" i="4"/>
  <c r="H417" i="4"/>
  <c r="G417" i="4"/>
  <c r="F417" i="4"/>
  <c r="J402" i="4"/>
  <c r="I402" i="4"/>
  <c r="H402" i="4"/>
  <c r="G402" i="4"/>
  <c r="F402" i="4"/>
  <c r="J400" i="4"/>
  <c r="I400" i="4"/>
  <c r="H400" i="4"/>
  <c r="G400" i="4"/>
  <c r="F400" i="4"/>
  <c r="J395" i="4"/>
  <c r="I395" i="4"/>
  <c r="H395" i="4"/>
  <c r="G395" i="4"/>
  <c r="F395" i="4"/>
  <c r="J390" i="4"/>
  <c r="K386" i="4" s="1"/>
  <c r="I390" i="4"/>
  <c r="H390" i="4"/>
  <c r="G390" i="4"/>
  <c r="F390" i="4"/>
  <c r="J384" i="4"/>
  <c r="K380" i="4" s="1"/>
  <c r="I384" i="4"/>
  <c r="J394" i="4" s="1"/>
  <c r="H384" i="4"/>
  <c r="G384" i="4"/>
  <c r="F384" i="4"/>
  <c r="F394" i="4" s="1"/>
  <c r="J375" i="4"/>
  <c r="I375" i="4"/>
  <c r="H375" i="4"/>
  <c r="G375" i="4"/>
  <c r="F375" i="4"/>
  <c r="J373" i="4"/>
  <c r="I373" i="4"/>
  <c r="H373" i="4"/>
  <c r="G373" i="4"/>
  <c r="J368" i="4"/>
  <c r="I368" i="4"/>
  <c r="H368" i="4"/>
  <c r="G368" i="4"/>
  <c r="F368" i="4"/>
  <c r="J363" i="4"/>
  <c r="K359" i="4" s="1"/>
  <c r="I363" i="4"/>
  <c r="H363" i="4"/>
  <c r="G363" i="4"/>
  <c r="F363" i="4"/>
  <c r="F356" i="4"/>
  <c r="F355" i="4"/>
  <c r="F373" i="4" s="1"/>
  <c r="F354" i="4"/>
  <c r="F353" i="4"/>
  <c r="J349" i="4"/>
  <c r="K345" i="4" s="1"/>
  <c r="K347" i="4"/>
  <c r="L347" i="4" s="1"/>
  <c r="M347" i="4" s="1"/>
  <c r="N347" i="4" s="1"/>
  <c r="O347" i="4" s="1"/>
  <c r="J342" i="4"/>
  <c r="K336" i="4"/>
  <c r="O322" i="4"/>
  <c r="N322" i="4"/>
  <c r="M322" i="4"/>
  <c r="L322" i="4"/>
  <c r="K322" i="4"/>
  <c r="K321" i="4"/>
  <c r="K320" i="4"/>
  <c r="J297" i="4"/>
  <c r="I297" i="4"/>
  <c r="H297" i="4"/>
  <c r="G297" i="4"/>
  <c r="F297" i="4"/>
  <c r="J296" i="4"/>
  <c r="I296" i="4"/>
  <c r="H296" i="4"/>
  <c r="G296" i="4"/>
  <c r="F296" i="4"/>
  <c r="J294" i="4"/>
  <c r="K294" i="4" s="1"/>
  <c r="L294" i="4" s="1"/>
  <c r="M294" i="4" s="1"/>
  <c r="N294" i="4" s="1"/>
  <c r="N212" i="4" s="1"/>
  <c r="J293" i="4"/>
  <c r="J292" i="4"/>
  <c r="J290" i="4"/>
  <c r="J289" i="4"/>
  <c r="J288" i="4"/>
  <c r="J284" i="4"/>
  <c r="J271" i="4"/>
  <c r="I271" i="4"/>
  <c r="H271" i="4"/>
  <c r="G271" i="4"/>
  <c r="F271" i="4"/>
  <c r="J266" i="4"/>
  <c r="I266" i="4"/>
  <c r="H266" i="4"/>
  <c r="G266" i="4"/>
  <c r="F266" i="4"/>
  <c r="J261" i="4"/>
  <c r="I261" i="4"/>
  <c r="H261" i="4"/>
  <c r="G261" i="4"/>
  <c r="F261" i="4"/>
  <c r="J255" i="4"/>
  <c r="I255" i="4"/>
  <c r="H255" i="4"/>
  <c r="G255" i="4"/>
  <c r="F255" i="4"/>
  <c r="J244" i="4"/>
  <c r="J245" i="4" s="1"/>
  <c r="I244" i="4"/>
  <c r="I245" i="4" s="1"/>
  <c r="H244" i="4"/>
  <c r="H245" i="4" s="1"/>
  <c r="G244" i="4"/>
  <c r="G245" i="4" s="1"/>
  <c r="F244" i="4"/>
  <c r="F245" i="4" s="1"/>
  <c r="J238" i="4"/>
  <c r="I238" i="4"/>
  <c r="H238" i="4"/>
  <c r="G238" i="4"/>
  <c r="F238" i="4"/>
  <c r="J237" i="4"/>
  <c r="I237" i="4"/>
  <c r="H237" i="4"/>
  <c r="G237" i="4"/>
  <c r="F237" i="4"/>
  <c r="J235" i="4"/>
  <c r="I235" i="4"/>
  <c r="H235" i="4"/>
  <c r="G235" i="4"/>
  <c r="F235" i="4"/>
  <c r="J230" i="4"/>
  <c r="I230" i="4"/>
  <c r="H230" i="4"/>
  <c r="G230" i="4"/>
  <c r="F230" i="4"/>
  <c r="J217" i="4"/>
  <c r="I217" i="4"/>
  <c r="H217" i="4"/>
  <c r="G217" i="4"/>
  <c r="F217" i="4"/>
  <c r="K216" i="4"/>
  <c r="L216" i="4" s="1"/>
  <c r="M216" i="4" s="1"/>
  <c r="N216" i="4" s="1"/>
  <c r="O216" i="4" s="1"/>
  <c r="K211" i="4"/>
  <c r="L211" i="4" s="1"/>
  <c r="M211" i="4" s="1"/>
  <c r="N211" i="4" s="1"/>
  <c r="O211" i="4" s="1"/>
  <c r="J206" i="4"/>
  <c r="I206" i="4"/>
  <c r="H206" i="4"/>
  <c r="G206" i="4"/>
  <c r="F206" i="4"/>
  <c r="K204" i="4"/>
  <c r="L204" i="4" s="1"/>
  <c r="M204" i="4" s="1"/>
  <c r="N204" i="4" s="1"/>
  <c r="O204" i="4" s="1"/>
  <c r="L203" i="4"/>
  <c r="K198" i="4"/>
  <c r="L198" i="4" s="1"/>
  <c r="M198" i="4" s="1"/>
  <c r="N198" i="4" s="1"/>
  <c r="O198" i="4" s="1"/>
  <c r="J197" i="4"/>
  <c r="J199" i="4" s="1"/>
  <c r="I197" i="4"/>
  <c r="I199" i="4" s="1"/>
  <c r="H197" i="4"/>
  <c r="H199" i="4" s="1"/>
  <c r="G197" i="4"/>
  <c r="G199" i="4" s="1"/>
  <c r="F197" i="4"/>
  <c r="F199" i="4" s="1"/>
  <c r="K195" i="4"/>
  <c r="L195" i="4" s="1"/>
  <c r="M195" i="4" s="1"/>
  <c r="N195" i="4" s="1"/>
  <c r="O195" i="4" s="1"/>
  <c r="K190" i="4"/>
  <c r="L190" i="4" s="1"/>
  <c r="M190" i="4" s="1"/>
  <c r="N190" i="4" s="1"/>
  <c r="O190" i="4" s="1"/>
  <c r="J189" i="4"/>
  <c r="I189" i="4"/>
  <c r="H189" i="4"/>
  <c r="G189" i="4"/>
  <c r="F189" i="4"/>
  <c r="K187" i="4"/>
  <c r="L187" i="4" s="1"/>
  <c r="J181" i="4"/>
  <c r="I181" i="4"/>
  <c r="H181" i="4"/>
  <c r="G181" i="4"/>
  <c r="F181" i="4"/>
  <c r="K179" i="4"/>
  <c r="L179" i="4" s="1"/>
  <c r="M179" i="4" s="1"/>
  <c r="N179" i="4" s="1"/>
  <c r="O179" i="4" s="1"/>
  <c r="J161" i="4"/>
  <c r="I161" i="4"/>
  <c r="H161" i="4"/>
  <c r="G161" i="4"/>
  <c r="F161" i="4"/>
  <c r="J151" i="4"/>
  <c r="I151" i="4"/>
  <c r="H151" i="4"/>
  <c r="G151" i="4"/>
  <c r="F151" i="4"/>
  <c r="J134" i="4"/>
  <c r="J141" i="4" s="1"/>
  <c r="J143" i="4" s="1"/>
  <c r="I134" i="4"/>
  <c r="I141" i="4" s="1"/>
  <c r="I143" i="4" s="1"/>
  <c r="H134" i="4"/>
  <c r="H141" i="4" s="1"/>
  <c r="H143" i="4" s="1"/>
  <c r="G134" i="4"/>
  <c r="G141" i="4" s="1"/>
  <c r="G143" i="4" s="1"/>
  <c r="F134" i="4"/>
  <c r="F141" i="4" s="1"/>
  <c r="F143" i="4" s="1"/>
  <c r="J98" i="4"/>
  <c r="I98" i="4"/>
  <c r="H98" i="4"/>
  <c r="G98" i="4"/>
  <c r="F98" i="4"/>
  <c r="J87" i="4"/>
  <c r="J575" i="4" s="1"/>
  <c r="J578" i="4" s="1"/>
  <c r="I87" i="4"/>
  <c r="I254" i="4" s="1"/>
  <c r="H87" i="4"/>
  <c r="H562" i="4" s="1"/>
  <c r="G87" i="4"/>
  <c r="G562" i="4" s="1"/>
  <c r="F87" i="4"/>
  <c r="F562" i="4" s="1"/>
  <c r="K76" i="4"/>
  <c r="K150" i="4" s="1"/>
  <c r="L70" i="4"/>
  <c r="L422" i="4" s="1"/>
  <c r="L69" i="4"/>
  <c r="M69" i="4" s="1"/>
  <c r="K58" i="4"/>
  <c r="K319" i="4" s="1"/>
  <c r="L57" i="4"/>
  <c r="M57" i="4" s="1"/>
  <c r="O28" i="4"/>
  <c r="O41" i="4" s="1"/>
  <c r="N28" i="4"/>
  <c r="N41" i="4" s="1"/>
  <c r="M28" i="4"/>
  <c r="M41" i="4" s="1"/>
  <c r="L28" i="4"/>
  <c r="L41" i="4" s="1"/>
  <c r="K28" i="4"/>
  <c r="K41" i="4" s="1"/>
  <c r="O22" i="4"/>
  <c r="O37" i="4" s="1"/>
  <c r="N22" i="4"/>
  <c r="N37" i="4" s="1"/>
  <c r="M22" i="4"/>
  <c r="M37" i="4" s="1"/>
  <c r="L22" i="4"/>
  <c r="L37" i="4" s="1"/>
  <c r="K22" i="4"/>
  <c r="K37" i="4" s="1"/>
  <c r="O16" i="4"/>
  <c r="O40" i="4" s="1"/>
  <c r="N16" i="4"/>
  <c r="N40" i="4" s="1"/>
  <c r="M16" i="4"/>
  <c r="M40" i="4" s="1"/>
  <c r="L16" i="4"/>
  <c r="L40" i="4" s="1"/>
  <c r="K16" i="4"/>
  <c r="K40" i="4" s="1"/>
  <c r="K229" i="4" s="1"/>
  <c r="O10" i="4"/>
  <c r="O36" i="4" s="1"/>
  <c r="N10" i="4"/>
  <c r="N36" i="4" s="1"/>
  <c r="M10" i="4"/>
  <c r="M36" i="4" s="1"/>
  <c r="L10" i="4"/>
  <c r="L36" i="4" s="1"/>
  <c r="K10" i="4"/>
  <c r="K36" i="4" s="1"/>
  <c r="K5" i="4"/>
  <c r="K82" i="4" s="1"/>
  <c r="H419" i="4" l="1"/>
  <c r="F419" i="4"/>
  <c r="H191" i="4"/>
  <c r="K241" i="6"/>
  <c r="L229" i="6"/>
  <c r="K230" i="6"/>
  <c r="M204" i="6"/>
  <c r="M238" i="6"/>
  <c r="N238" i="6" s="1"/>
  <c r="O238" i="6" s="1"/>
  <c r="K225" i="6"/>
  <c r="J225" i="6" s="1"/>
  <c r="I225" i="6" s="1"/>
  <c r="H225" i="6" s="1"/>
  <c r="G225" i="6" s="1"/>
  <c r="F225" i="6" s="1"/>
  <c r="H272" i="6"/>
  <c r="H262" i="6"/>
  <c r="H257" i="6"/>
  <c r="H394" i="6"/>
  <c r="H396" i="6"/>
  <c r="K388" i="6"/>
  <c r="O388" i="6"/>
  <c r="N388" i="6"/>
  <c r="M388" i="6"/>
  <c r="L388" i="6"/>
  <c r="I396" i="6"/>
  <c r="F367" i="6"/>
  <c r="G353" i="6"/>
  <c r="G357" i="6" s="1"/>
  <c r="J394" i="6"/>
  <c r="J396" i="6" s="1"/>
  <c r="K380" i="6"/>
  <c r="G420" i="6"/>
  <c r="M70" i="6"/>
  <c r="K171" i="6"/>
  <c r="L481" i="6"/>
  <c r="L484" i="6"/>
  <c r="M543" i="6"/>
  <c r="O187" i="6"/>
  <c r="O418" i="6" s="1"/>
  <c r="L382" i="6"/>
  <c r="K382" i="6"/>
  <c r="N382" i="6"/>
  <c r="M382" i="6"/>
  <c r="O382" i="6"/>
  <c r="M212" i="6"/>
  <c r="N294" i="6"/>
  <c r="K316" i="6"/>
  <c r="J316" i="6" s="1"/>
  <c r="I316" i="6" s="1"/>
  <c r="H316" i="6" s="1"/>
  <c r="G316" i="6" s="1"/>
  <c r="F316" i="6" s="1"/>
  <c r="K458" i="6"/>
  <c r="J458" i="6" s="1"/>
  <c r="I458" i="6" s="1"/>
  <c r="H458" i="6" s="1"/>
  <c r="G458" i="6" s="1"/>
  <c r="F458" i="6" s="1"/>
  <c r="K533" i="6"/>
  <c r="J533" i="6" s="1"/>
  <c r="I533" i="6" s="1"/>
  <c r="H533" i="6" s="1"/>
  <c r="G533" i="6" s="1"/>
  <c r="F533" i="6" s="1"/>
  <c r="K414" i="6"/>
  <c r="J414" i="6" s="1"/>
  <c r="I414" i="6" s="1"/>
  <c r="H414" i="6" s="1"/>
  <c r="G414" i="6" s="1"/>
  <c r="F414" i="6" s="1"/>
  <c r="E414" i="6" s="1"/>
  <c r="K173" i="6"/>
  <c r="J173" i="6" s="1"/>
  <c r="I173" i="6" s="1"/>
  <c r="H173" i="6" s="1"/>
  <c r="G173" i="6" s="1"/>
  <c r="F173" i="6" s="1"/>
  <c r="K560" i="6"/>
  <c r="J560" i="6" s="1"/>
  <c r="I560" i="6" s="1"/>
  <c r="H560" i="6" s="1"/>
  <c r="G560" i="6" s="1"/>
  <c r="F560" i="6" s="1"/>
  <c r="K121" i="6"/>
  <c r="J121" i="6" s="1"/>
  <c r="I121" i="6" s="1"/>
  <c r="H121" i="6" s="1"/>
  <c r="G121" i="6" s="1"/>
  <c r="F121" i="6" s="1"/>
  <c r="K507" i="6"/>
  <c r="J507" i="6" s="1"/>
  <c r="I507" i="6" s="1"/>
  <c r="H507" i="6" s="1"/>
  <c r="G507" i="6" s="1"/>
  <c r="F507" i="6" s="1"/>
  <c r="K252" i="6"/>
  <c r="J252" i="6" s="1"/>
  <c r="I252" i="6" s="1"/>
  <c r="H252" i="6" s="1"/>
  <c r="G252" i="6" s="1"/>
  <c r="F252" i="6" s="1"/>
  <c r="J82" i="6"/>
  <c r="I82" i="6" s="1"/>
  <c r="H82" i="6" s="1"/>
  <c r="G82" i="6" s="1"/>
  <c r="F82" i="6" s="1"/>
  <c r="L361" i="6"/>
  <c r="O361" i="6"/>
  <c r="K361" i="6"/>
  <c r="N361" i="6"/>
  <c r="M361" i="6"/>
  <c r="H104" i="6"/>
  <c r="H564" i="6"/>
  <c r="I564" i="6"/>
  <c r="I104" i="6"/>
  <c r="K112" i="6"/>
  <c r="J163" i="6"/>
  <c r="O466" i="6"/>
  <c r="O176" i="6" s="1"/>
  <c r="N176" i="6"/>
  <c r="H166" i="6"/>
  <c r="I164" i="6" s="1"/>
  <c r="I166" i="6" s="1"/>
  <c r="J164" i="6" s="1"/>
  <c r="J218" i="6"/>
  <c r="J219" i="6" s="1"/>
  <c r="J171" i="6" s="1"/>
  <c r="H267" i="6"/>
  <c r="J564" i="6"/>
  <c r="J104" i="6"/>
  <c r="I219" i="6"/>
  <c r="N171" i="6" s="1"/>
  <c r="I394" i="6"/>
  <c r="G171" i="6"/>
  <c r="H171" i="6"/>
  <c r="K149" i="6"/>
  <c r="K570" i="6" s="1"/>
  <c r="M57" i="6"/>
  <c r="I171" i="6"/>
  <c r="H419" i="6"/>
  <c r="J299" i="6"/>
  <c r="K494" i="6"/>
  <c r="K127" i="6" s="1"/>
  <c r="J246" i="6"/>
  <c r="L5" i="6"/>
  <c r="N355" i="6"/>
  <c r="O355" i="6"/>
  <c r="M355" i="6"/>
  <c r="L355" i="6"/>
  <c r="M155" i="6"/>
  <c r="L155" i="6"/>
  <c r="F254" i="6"/>
  <c r="F562" i="6"/>
  <c r="F102" i="6"/>
  <c r="K323" i="6"/>
  <c r="M69" i="6"/>
  <c r="F369" i="6"/>
  <c r="F396" i="6"/>
  <c r="G544" i="6"/>
  <c r="J545" i="6" s="1"/>
  <c r="I272" i="6"/>
  <c r="F419" i="6"/>
  <c r="F420" i="6" s="1"/>
  <c r="G104" i="6"/>
  <c r="G564" i="6"/>
  <c r="G219" i="6"/>
  <c r="L171" i="6" s="1"/>
  <c r="G254" i="6"/>
  <c r="G396" i="6"/>
  <c r="H544" i="6"/>
  <c r="I544" i="6"/>
  <c r="J460" i="6"/>
  <c r="J282" i="6"/>
  <c r="J254" i="6"/>
  <c r="J267" i="6" s="1"/>
  <c r="K486" i="6"/>
  <c r="L228" i="6"/>
  <c r="I257" i="6"/>
  <c r="J562" i="6"/>
  <c r="K237" i="6"/>
  <c r="J541" i="6"/>
  <c r="J542" i="6" s="1"/>
  <c r="K471" i="6"/>
  <c r="K540" i="6"/>
  <c r="K323" i="4"/>
  <c r="K331" i="4" s="1"/>
  <c r="K337" i="4" s="1"/>
  <c r="K338" i="4" s="1"/>
  <c r="K354" i="4" s="1"/>
  <c r="I394" i="4"/>
  <c r="I396" i="4" s="1"/>
  <c r="J490" i="4"/>
  <c r="J491" i="4" s="1"/>
  <c r="K491" i="4" s="1"/>
  <c r="L491" i="4" s="1"/>
  <c r="M491" i="4" s="1"/>
  <c r="N491" i="4" s="1"/>
  <c r="O491" i="4" s="1"/>
  <c r="L155" i="4"/>
  <c r="L585" i="4" s="1"/>
  <c r="G298" i="4"/>
  <c r="J544" i="4"/>
  <c r="F420" i="4"/>
  <c r="K176" i="4"/>
  <c r="F396" i="4"/>
  <c r="G394" i="4"/>
  <c r="G396" i="4" s="1"/>
  <c r="H394" i="4"/>
  <c r="H396" i="4" s="1"/>
  <c r="J376" i="4"/>
  <c r="K361" i="4" s="1"/>
  <c r="J396" i="4"/>
  <c r="F191" i="4"/>
  <c r="N111" i="4"/>
  <c r="G218" i="4"/>
  <c r="G219" i="4" s="1"/>
  <c r="H218" i="4"/>
  <c r="H219" i="4" s="1"/>
  <c r="J419" i="4"/>
  <c r="I218" i="4"/>
  <c r="I219" i="4" s="1"/>
  <c r="F298" i="4"/>
  <c r="H298" i="4"/>
  <c r="F163" i="4"/>
  <c r="F166" i="4" s="1"/>
  <c r="G164" i="4" s="1"/>
  <c r="F254" i="4"/>
  <c r="F267" i="4" s="1"/>
  <c r="G254" i="4"/>
  <c r="G267" i="4" s="1"/>
  <c r="H254" i="4"/>
  <c r="H267" i="4" s="1"/>
  <c r="H100" i="4"/>
  <c r="H563" i="4" s="1"/>
  <c r="F100" i="4"/>
  <c r="F563" i="4" s="1"/>
  <c r="G100" i="4"/>
  <c r="G563" i="4" s="1"/>
  <c r="H102" i="4"/>
  <c r="I102" i="4"/>
  <c r="I272" i="4"/>
  <c r="J246" i="4"/>
  <c r="O42" i="4" s="1"/>
  <c r="K111" i="4"/>
  <c r="L111" i="4"/>
  <c r="M111" i="4"/>
  <c r="I163" i="4"/>
  <c r="J163" i="4"/>
  <c r="M155" i="4"/>
  <c r="M585" i="4" s="1"/>
  <c r="M466" i="4"/>
  <c r="L176" i="4"/>
  <c r="L320" i="4"/>
  <c r="G163" i="4"/>
  <c r="L212" i="4"/>
  <c r="K212" i="4"/>
  <c r="M212" i="4"/>
  <c r="L112" i="4"/>
  <c r="G191" i="4"/>
  <c r="I541" i="4"/>
  <c r="M70" i="4"/>
  <c r="N70" i="4" s="1"/>
  <c r="I100" i="4"/>
  <c r="I563" i="4" s="1"/>
  <c r="O294" i="4"/>
  <c r="O212" i="4" s="1"/>
  <c r="K62" i="4"/>
  <c r="F102" i="4"/>
  <c r="I267" i="4"/>
  <c r="K471" i="4"/>
  <c r="J541" i="4"/>
  <c r="L5" i="4"/>
  <c r="L82" i="4" s="1"/>
  <c r="L560" i="4" s="1"/>
  <c r="J403" i="4"/>
  <c r="K112" i="4"/>
  <c r="I262" i="4"/>
  <c r="G102" i="4"/>
  <c r="H163" i="4"/>
  <c r="J218" i="4"/>
  <c r="J219" i="4" s="1"/>
  <c r="I562" i="4"/>
  <c r="N543" i="4"/>
  <c r="M112" i="4"/>
  <c r="M187" i="4"/>
  <c r="L418" i="4"/>
  <c r="M437" i="4"/>
  <c r="N69" i="4"/>
  <c r="K458" i="4"/>
  <c r="J458" i="4" s="1"/>
  <c r="I458" i="4" s="1"/>
  <c r="H458" i="4" s="1"/>
  <c r="G458" i="4" s="1"/>
  <c r="F458" i="4" s="1"/>
  <c r="K279" i="4"/>
  <c r="J279" i="4" s="1"/>
  <c r="I279" i="4" s="1"/>
  <c r="H279" i="4" s="1"/>
  <c r="G279" i="4" s="1"/>
  <c r="F279" i="4" s="1"/>
  <c r="K252" i="4"/>
  <c r="J252" i="4" s="1"/>
  <c r="I252" i="4" s="1"/>
  <c r="H252" i="4" s="1"/>
  <c r="G252" i="4" s="1"/>
  <c r="F252" i="4" s="1"/>
  <c r="K507" i="4"/>
  <c r="J507" i="4" s="1"/>
  <c r="I507" i="4" s="1"/>
  <c r="H507" i="4" s="1"/>
  <c r="G507" i="4" s="1"/>
  <c r="F507" i="4" s="1"/>
  <c r="K560" i="4"/>
  <c r="J560" i="4" s="1"/>
  <c r="I560" i="4" s="1"/>
  <c r="H560" i="4" s="1"/>
  <c r="G560" i="4" s="1"/>
  <c r="F560" i="4" s="1"/>
  <c r="K533" i="4"/>
  <c r="J533" i="4" s="1"/>
  <c r="I533" i="4" s="1"/>
  <c r="H533" i="4" s="1"/>
  <c r="G533" i="4" s="1"/>
  <c r="F533" i="4" s="1"/>
  <c r="K225" i="4"/>
  <c r="J225" i="4" s="1"/>
  <c r="I225" i="4" s="1"/>
  <c r="H225" i="4" s="1"/>
  <c r="G225" i="4" s="1"/>
  <c r="F225" i="4" s="1"/>
  <c r="K316" i="4"/>
  <c r="J316" i="4" s="1"/>
  <c r="I316" i="4" s="1"/>
  <c r="H316" i="4" s="1"/>
  <c r="G316" i="4" s="1"/>
  <c r="F316" i="4" s="1"/>
  <c r="K121" i="4"/>
  <c r="J121" i="4" s="1"/>
  <c r="I121" i="4" s="1"/>
  <c r="H121" i="4" s="1"/>
  <c r="G121" i="4" s="1"/>
  <c r="F121" i="4" s="1"/>
  <c r="J82" i="4"/>
  <c r="I82" i="4" s="1"/>
  <c r="H82" i="4" s="1"/>
  <c r="G82" i="4" s="1"/>
  <c r="F82" i="4" s="1"/>
  <c r="K414" i="4"/>
  <c r="J414" i="4" s="1"/>
  <c r="I414" i="4" s="1"/>
  <c r="H414" i="4" s="1"/>
  <c r="G414" i="4" s="1"/>
  <c r="F414" i="4" s="1"/>
  <c r="E414" i="4" s="1"/>
  <c r="K173" i="4"/>
  <c r="J173" i="4" s="1"/>
  <c r="I173" i="4" s="1"/>
  <c r="H173" i="4" s="1"/>
  <c r="G173" i="4" s="1"/>
  <c r="F173" i="4" s="1"/>
  <c r="L229" i="4"/>
  <c r="J521" i="4"/>
  <c r="J254" i="4"/>
  <c r="J262" i="4" s="1"/>
  <c r="J100" i="4"/>
  <c r="J563" i="4" s="1"/>
  <c r="J460" i="4"/>
  <c r="K237" i="4"/>
  <c r="J401" i="4"/>
  <c r="J562" i="4"/>
  <c r="K155" i="4"/>
  <c r="K585" i="4" s="1"/>
  <c r="K418" i="4"/>
  <c r="L467" i="4"/>
  <c r="J282" i="4"/>
  <c r="H544" i="4"/>
  <c r="I544" i="4"/>
  <c r="M320" i="4"/>
  <c r="J102" i="4"/>
  <c r="K228" i="4"/>
  <c r="L437" i="4"/>
  <c r="N57" i="4"/>
  <c r="K238" i="4"/>
  <c r="L238" i="4" s="1"/>
  <c r="M238" i="4" s="1"/>
  <c r="N238" i="4" s="1"/>
  <c r="O238" i="4" s="1"/>
  <c r="F218" i="4"/>
  <c r="F219" i="4" s="1"/>
  <c r="N155" i="4"/>
  <c r="N585" i="4" s="1"/>
  <c r="G541" i="4"/>
  <c r="O155" i="4"/>
  <c r="O585" i="4" s="1"/>
  <c r="H541" i="4"/>
  <c r="I257" i="4"/>
  <c r="K477" i="4"/>
  <c r="G419" i="4"/>
  <c r="G420" i="4" s="1"/>
  <c r="K326" i="4"/>
  <c r="K147" i="4" s="1"/>
  <c r="L361" i="4"/>
  <c r="I419" i="4"/>
  <c r="I420" i="4" s="1"/>
  <c r="G544" i="4"/>
  <c r="J374" i="4"/>
  <c r="F357" i="4"/>
  <c r="I191" i="4"/>
  <c r="J191" i="4"/>
  <c r="I298" i="4"/>
  <c r="J298" i="4"/>
  <c r="M171" i="4" l="1"/>
  <c r="L540" i="6"/>
  <c r="K111" i="6"/>
  <c r="F257" i="6"/>
  <c r="F272" i="6"/>
  <c r="J272" i="6"/>
  <c r="L82" i="6"/>
  <c r="M5" i="6"/>
  <c r="M422" i="6"/>
  <c r="N70" i="6"/>
  <c r="H512" i="6"/>
  <c r="H106" i="6"/>
  <c r="H108" i="6" s="1"/>
  <c r="L469" i="6"/>
  <c r="L471" i="6" s="1"/>
  <c r="K177" i="6"/>
  <c r="O171" i="6"/>
  <c r="M571" i="6"/>
  <c r="J262" i="6"/>
  <c r="G367" i="6"/>
  <c r="G369" i="6" s="1"/>
  <c r="H353" i="6"/>
  <c r="H357" i="6" s="1"/>
  <c r="L237" i="6"/>
  <c r="K240" i="6"/>
  <c r="K242" i="6" s="1"/>
  <c r="K87" i="6" s="1"/>
  <c r="L149" i="6"/>
  <c r="M149" i="6"/>
  <c r="J166" i="6"/>
  <c r="K164" i="6" s="1"/>
  <c r="K427" i="6" s="1"/>
  <c r="L494" i="6"/>
  <c r="L127" i="6" s="1"/>
  <c r="G272" i="6"/>
  <c r="G257" i="6"/>
  <c r="M437" i="6"/>
  <c r="N69" i="6"/>
  <c r="O149" i="6"/>
  <c r="F267" i="6"/>
  <c r="J268" i="6" s="1"/>
  <c r="G262" i="6"/>
  <c r="N212" i="6"/>
  <c r="O294" i="6"/>
  <c r="O212" i="6" s="1"/>
  <c r="M477" i="6"/>
  <c r="N204" i="6"/>
  <c r="K330" i="6"/>
  <c r="K346" i="6" s="1"/>
  <c r="K349" i="6" s="1"/>
  <c r="L345" i="6" s="1"/>
  <c r="K331" i="6"/>
  <c r="K337" i="6" s="1"/>
  <c r="K332" i="6"/>
  <c r="K381" i="6" s="1"/>
  <c r="N149" i="6"/>
  <c r="J257" i="6"/>
  <c r="J397" i="6"/>
  <c r="G512" i="6"/>
  <c r="G106" i="6"/>
  <c r="G108" i="6" s="1"/>
  <c r="O42" i="6"/>
  <c r="N42" i="6"/>
  <c r="M42" i="6"/>
  <c r="L42" i="6"/>
  <c r="K42" i="6"/>
  <c r="L571" i="6"/>
  <c r="K384" i="6"/>
  <c r="F262" i="6"/>
  <c r="J263" i="6" s="1"/>
  <c r="N543" i="6"/>
  <c r="M112" i="6"/>
  <c r="H420" i="6"/>
  <c r="I420" i="6"/>
  <c r="M228" i="6"/>
  <c r="L230" i="6"/>
  <c r="F564" i="6"/>
  <c r="F104" i="6"/>
  <c r="G267" i="6"/>
  <c r="J512" i="6"/>
  <c r="J106" i="6"/>
  <c r="J108" i="6" s="1"/>
  <c r="I512" i="6"/>
  <c r="I106" i="6"/>
  <c r="I108" i="6" s="1"/>
  <c r="M229" i="6"/>
  <c r="L241" i="6"/>
  <c r="L244" i="6" s="1"/>
  <c r="L86" i="6" s="1"/>
  <c r="L483" i="6"/>
  <c r="L486" i="6" s="1"/>
  <c r="M483" i="6" s="1"/>
  <c r="K490" i="6"/>
  <c r="K492" i="6" s="1"/>
  <c r="K178" i="6" s="1"/>
  <c r="M320" i="6"/>
  <c r="N57" i="6"/>
  <c r="K244" i="6"/>
  <c r="K86" i="6" s="1"/>
  <c r="F104" i="4"/>
  <c r="F512" i="4" s="1"/>
  <c r="F516" i="4" s="1"/>
  <c r="F564" i="4"/>
  <c r="I104" i="4"/>
  <c r="I106" i="4" s="1"/>
  <c r="I108" i="4" s="1"/>
  <c r="I568" i="4" s="1"/>
  <c r="I564" i="4"/>
  <c r="H104" i="4"/>
  <c r="H106" i="4" s="1"/>
  <c r="H108" i="4" s="1"/>
  <c r="H568" i="4" s="1"/>
  <c r="H564" i="4"/>
  <c r="G104" i="4"/>
  <c r="G512" i="4" s="1"/>
  <c r="G514" i="4" s="1"/>
  <c r="G564" i="4"/>
  <c r="J104" i="4"/>
  <c r="J512" i="4" s="1"/>
  <c r="J564" i="4"/>
  <c r="K332" i="4"/>
  <c r="K381" i="4" s="1"/>
  <c r="K330" i="4"/>
  <c r="K346" i="4" s="1"/>
  <c r="K349" i="4" s="1"/>
  <c r="L345" i="4" s="1"/>
  <c r="M361" i="4"/>
  <c r="N361" i="4"/>
  <c r="L507" i="4"/>
  <c r="L121" i="4"/>
  <c r="M422" i="4"/>
  <c r="F171" i="4"/>
  <c r="L173" i="4"/>
  <c r="J397" i="4"/>
  <c r="O361" i="4"/>
  <c r="L252" i="4"/>
  <c r="L279" i="4"/>
  <c r="L316" i="4"/>
  <c r="L414" i="4"/>
  <c r="L225" i="4"/>
  <c r="L458" i="4"/>
  <c r="M5" i="4"/>
  <c r="M82" i="4" s="1"/>
  <c r="L533" i="4"/>
  <c r="H262" i="4"/>
  <c r="F272" i="4"/>
  <c r="H257" i="4"/>
  <c r="G257" i="4"/>
  <c r="K42" i="4"/>
  <c r="H272" i="4"/>
  <c r="G262" i="4"/>
  <c r="F257" i="4"/>
  <c r="G272" i="4"/>
  <c r="F262" i="4"/>
  <c r="G166" i="4"/>
  <c r="H164" i="4" s="1"/>
  <c r="H166" i="4" s="1"/>
  <c r="I164" i="4" s="1"/>
  <c r="I166" i="4" s="1"/>
  <c r="J164" i="4" s="1"/>
  <c r="J166" i="4" s="1"/>
  <c r="K164" i="4" s="1"/>
  <c r="K427" i="4" s="1"/>
  <c r="L42" i="4"/>
  <c r="N42" i="4"/>
  <c r="M42" i="4"/>
  <c r="J420" i="4"/>
  <c r="H171" i="4"/>
  <c r="G171" i="4"/>
  <c r="G516" i="4"/>
  <c r="L469" i="4"/>
  <c r="L471" i="4" s="1"/>
  <c r="K177" i="4"/>
  <c r="J272" i="4"/>
  <c r="J299" i="4"/>
  <c r="N422" i="4"/>
  <c r="O70" i="4"/>
  <c r="O422" i="4" s="1"/>
  <c r="J257" i="4"/>
  <c r="J267" i="4"/>
  <c r="J268" i="4" s="1"/>
  <c r="L171" i="4"/>
  <c r="K241" i="4"/>
  <c r="O388" i="4"/>
  <c r="K388" i="4"/>
  <c r="M388" i="4"/>
  <c r="L388" i="4"/>
  <c r="N388" i="4"/>
  <c r="N466" i="4"/>
  <c r="M176" i="4"/>
  <c r="N171" i="4"/>
  <c r="I171" i="4"/>
  <c r="L228" i="4"/>
  <c r="K230" i="4"/>
  <c r="M229" i="4"/>
  <c r="L241" i="4"/>
  <c r="F367" i="4"/>
  <c r="F369" i="4" s="1"/>
  <c r="G353" i="4"/>
  <c r="G357" i="4" s="1"/>
  <c r="O382" i="4"/>
  <c r="N382" i="4"/>
  <c r="M382" i="4"/>
  <c r="L382" i="4"/>
  <c r="K382" i="4"/>
  <c r="K171" i="4"/>
  <c r="H114" i="4"/>
  <c r="K240" i="4"/>
  <c r="L237" i="4"/>
  <c r="K481" i="4"/>
  <c r="K484" i="4"/>
  <c r="O355" i="4"/>
  <c r="N355" i="4"/>
  <c r="L355" i="4"/>
  <c r="K355" i="4"/>
  <c r="M355" i="4"/>
  <c r="H420" i="4"/>
  <c r="N320" i="4"/>
  <c r="O57" i="4"/>
  <c r="M418" i="4"/>
  <c r="N187" i="4"/>
  <c r="J106" i="4"/>
  <c r="J108" i="4" s="1"/>
  <c r="J568" i="4" s="1"/>
  <c r="O69" i="4"/>
  <c r="O437" i="4" s="1"/>
  <c r="N437" i="4"/>
  <c r="L156" i="4"/>
  <c r="M467" i="4"/>
  <c r="K339" i="4"/>
  <c r="L336" i="4" s="1"/>
  <c r="J545" i="4"/>
  <c r="O543" i="4"/>
  <c r="O112" i="4" s="1"/>
  <c r="N112" i="4"/>
  <c r="O171" i="4"/>
  <c r="J171" i="4"/>
  <c r="J542" i="4"/>
  <c r="J570" i="4" l="1"/>
  <c r="J567" i="4"/>
  <c r="H548" i="4"/>
  <c r="H549" i="4" s="1"/>
  <c r="H567" i="4"/>
  <c r="I115" i="4"/>
  <c r="I567" i="4"/>
  <c r="I565" i="4"/>
  <c r="I114" i="4"/>
  <c r="I548" i="4"/>
  <c r="I549" i="4" s="1"/>
  <c r="K384" i="4"/>
  <c r="L380" i="4" s="1"/>
  <c r="F106" i="4"/>
  <c r="F108" i="4" s="1"/>
  <c r="F565" i="4" s="1"/>
  <c r="K244" i="4"/>
  <c r="K86" i="4" s="1"/>
  <c r="H115" i="4"/>
  <c r="F514" i="4"/>
  <c r="M540" i="6"/>
  <c r="L111" i="6"/>
  <c r="G548" i="6"/>
  <c r="G549" i="6" s="1"/>
  <c r="G565" i="6"/>
  <c r="G114" i="6"/>
  <c r="G115" i="6"/>
  <c r="M237" i="6"/>
  <c r="L240" i="6"/>
  <c r="L242" i="6" s="1"/>
  <c r="L87" i="6" s="1"/>
  <c r="N437" i="6"/>
  <c r="O69" i="6"/>
  <c r="O437" i="6" s="1"/>
  <c r="L316" i="6"/>
  <c r="L458" i="6"/>
  <c r="L533" i="6"/>
  <c r="L414" i="6"/>
  <c r="L173" i="6"/>
  <c r="L560" i="6"/>
  <c r="L225" i="6"/>
  <c r="L507" i="6"/>
  <c r="L252" i="6"/>
  <c r="L121" i="6"/>
  <c r="L279" i="6"/>
  <c r="N229" i="6"/>
  <c r="M241" i="6"/>
  <c r="M244" i="6" s="1"/>
  <c r="M86" i="6" s="1"/>
  <c r="H548" i="6"/>
  <c r="H549" i="6" s="1"/>
  <c r="H565" i="6"/>
  <c r="H114" i="6"/>
  <c r="H115" i="6"/>
  <c r="O543" i="6"/>
  <c r="O112" i="6" s="1"/>
  <c r="N112" i="6"/>
  <c r="I514" i="6"/>
  <c r="I516" i="6"/>
  <c r="K460" i="6"/>
  <c r="K461" i="6" s="1"/>
  <c r="K282" i="6"/>
  <c r="K283" i="6" s="1"/>
  <c r="K254" i="6"/>
  <c r="K521" i="6"/>
  <c r="K522" i="6" s="1"/>
  <c r="K85" i="6"/>
  <c r="J548" i="6"/>
  <c r="J549" i="6" s="1"/>
  <c r="J565" i="6"/>
  <c r="J114" i="6"/>
  <c r="J115" i="6"/>
  <c r="I353" i="6"/>
  <c r="I357" i="6" s="1"/>
  <c r="H367" i="6"/>
  <c r="H369" i="6" s="1"/>
  <c r="F106" i="6"/>
  <c r="F108" i="6" s="1"/>
  <c r="F512" i="6"/>
  <c r="M484" i="6"/>
  <c r="M486" i="6" s="1"/>
  <c r="N483" i="6" s="1"/>
  <c r="M481" i="6"/>
  <c r="I548" i="6"/>
  <c r="I549" i="6" s="1"/>
  <c r="I114" i="6"/>
  <c r="I565" i="6"/>
  <c r="I115" i="6"/>
  <c r="G516" i="6"/>
  <c r="G514" i="6"/>
  <c r="O47" i="6"/>
  <c r="N47" i="6"/>
  <c r="M47" i="6"/>
  <c r="L47" i="6"/>
  <c r="K47" i="6"/>
  <c r="J514" i="6"/>
  <c r="J516" i="6"/>
  <c r="N5" i="6"/>
  <c r="M82" i="6"/>
  <c r="J273" i="6"/>
  <c r="L177" i="6"/>
  <c r="M469" i="6"/>
  <c r="M471" i="6" s="1"/>
  <c r="H516" i="6"/>
  <c r="J517" i="6" s="1"/>
  <c r="K517" i="6" s="1"/>
  <c r="L517" i="6" s="1"/>
  <c r="M517" i="6" s="1"/>
  <c r="N517" i="6" s="1"/>
  <c r="O517" i="6" s="1"/>
  <c r="H514" i="6"/>
  <c r="J515" i="6" s="1"/>
  <c r="N422" i="6"/>
  <c r="O70" i="6"/>
  <c r="O422" i="6" s="1"/>
  <c r="K394" i="6"/>
  <c r="K398" i="6" s="1"/>
  <c r="L380" i="6"/>
  <c r="K338" i="6"/>
  <c r="K354" i="6" s="1"/>
  <c r="K339" i="6"/>
  <c r="L336" i="6" s="1"/>
  <c r="O57" i="6"/>
  <c r="N320" i="6"/>
  <c r="M230" i="6"/>
  <c r="N228" i="6"/>
  <c r="O204" i="6"/>
  <c r="J258" i="6"/>
  <c r="L490" i="6"/>
  <c r="L492" i="6" s="1"/>
  <c r="L178" i="6" s="1"/>
  <c r="H565" i="4"/>
  <c r="H512" i="4"/>
  <c r="H516" i="4" s="1"/>
  <c r="G106" i="4"/>
  <c r="G108" i="4" s="1"/>
  <c r="I512" i="4"/>
  <c r="I516" i="4" s="1"/>
  <c r="N5" i="4"/>
  <c r="O5" i="4" s="1"/>
  <c r="O82" i="4" s="1"/>
  <c r="M149" i="4"/>
  <c r="J263" i="4"/>
  <c r="M47" i="4" s="1"/>
  <c r="J258" i="4"/>
  <c r="L46" i="4" s="1"/>
  <c r="J273" i="4"/>
  <c r="N149" i="4"/>
  <c r="O466" i="4"/>
  <c r="O176" i="4" s="1"/>
  <c r="N176" i="4"/>
  <c r="M469" i="4"/>
  <c r="M471" i="4" s="1"/>
  <c r="L177" i="4"/>
  <c r="M237" i="4"/>
  <c r="L240" i="4"/>
  <c r="J548" i="4"/>
  <c r="J549" i="4" s="1"/>
  <c r="J114" i="4"/>
  <c r="J565" i="4"/>
  <c r="J115" i="4"/>
  <c r="K149" i="4"/>
  <c r="K584" i="4" s="1"/>
  <c r="O187" i="4"/>
  <c r="O418" i="4" s="1"/>
  <c r="N418" i="4"/>
  <c r="L149" i="4"/>
  <c r="N229" i="4"/>
  <c r="M241" i="4"/>
  <c r="M156" i="4"/>
  <c r="N467" i="4"/>
  <c r="K242" i="4"/>
  <c r="H353" i="4"/>
  <c r="H357" i="4" s="1"/>
  <c r="G367" i="4"/>
  <c r="G369" i="4" s="1"/>
  <c r="J516" i="4"/>
  <c r="J514" i="4"/>
  <c r="L244" i="4"/>
  <c r="L86" i="4" s="1"/>
  <c r="M228" i="4"/>
  <c r="L230" i="4"/>
  <c r="O149" i="4"/>
  <c r="O320" i="4"/>
  <c r="K494" i="4"/>
  <c r="K127" i="4" s="1"/>
  <c r="K486" i="4"/>
  <c r="L483" i="4" s="1"/>
  <c r="M560" i="4"/>
  <c r="M533" i="4"/>
  <c r="M225" i="4"/>
  <c r="M316" i="4"/>
  <c r="M414" i="4"/>
  <c r="M458" i="4"/>
  <c r="M252" i="4"/>
  <c r="M173" i="4"/>
  <c r="M279" i="4"/>
  <c r="M121" i="4"/>
  <c r="M507" i="4"/>
  <c r="L477" i="4"/>
  <c r="G565" i="4" l="1"/>
  <c r="G568" i="4"/>
  <c r="G567" i="4"/>
  <c r="F548" i="4"/>
  <c r="F549" i="4" s="1"/>
  <c r="F114" i="4"/>
  <c r="F115" i="4"/>
  <c r="K394" i="4"/>
  <c r="K398" i="4" s="1"/>
  <c r="H514" i="4"/>
  <c r="G114" i="4"/>
  <c r="G115" i="4"/>
  <c r="G548" i="4"/>
  <c r="G549" i="4" s="1"/>
  <c r="J550" i="4" s="1"/>
  <c r="I514" i="4"/>
  <c r="N230" i="6"/>
  <c r="O228" i="6"/>
  <c r="K524" i="6"/>
  <c r="K526" i="6"/>
  <c r="F514" i="6"/>
  <c r="F516" i="6"/>
  <c r="N469" i="6"/>
  <c r="N471" i="6" s="1"/>
  <c r="M177" i="6"/>
  <c r="K293" i="6"/>
  <c r="K290" i="6"/>
  <c r="K288" i="6"/>
  <c r="K68" i="6"/>
  <c r="L282" i="6"/>
  <c r="L283" i="6" s="1"/>
  <c r="L254" i="6"/>
  <c r="L85" i="6"/>
  <c r="L521" i="6"/>
  <c r="L522" i="6" s="1"/>
  <c r="L460" i="6"/>
  <c r="L461" i="6" s="1"/>
  <c r="M111" i="6"/>
  <c r="N540" i="6"/>
  <c r="K269" i="6"/>
  <c r="K94" i="6" s="1"/>
  <c r="K296" i="6" s="1"/>
  <c r="K300" i="6" s="1"/>
  <c r="K214" i="6" s="1"/>
  <c r="K305" i="6" s="1"/>
  <c r="K264" i="6"/>
  <c r="K97" i="6" s="1"/>
  <c r="K259" i="6"/>
  <c r="O320" i="6"/>
  <c r="J353" i="6"/>
  <c r="J357" i="6" s="1"/>
  <c r="I367" i="6"/>
  <c r="I369" i="6" s="1"/>
  <c r="M414" i="6"/>
  <c r="M316" i="6"/>
  <c r="M458" i="6"/>
  <c r="M279" i="6"/>
  <c r="M173" i="6"/>
  <c r="M560" i="6"/>
  <c r="M533" i="6"/>
  <c r="M225" i="6"/>
  <c r="M507" i="6"/>
  <c r="M252" i="6"/>
  <c r="M121" i="6"/>
  <c r="N46" i="6"/>
  <c r="M46" i="6"/>
  <c r="L46" i="6"/>
  <c r="L91" i="6" s="1"/>
  <c r="O46" i="6"/>
  <c r="K46" i="6"/>
  <c r="K91" i="6" s="1"/>
  <c r="K387" i="6"/>
  <c r="K390" i="6" s="1"/>
  <c r="O5" i="6"/>
  <c r="O82" i="6" s="1"/>
  <c r="N82" i="6"/>
  <c r="M494" i="6"/>
  <c r="M127" i="6" s="1"/>
  <c r="F565" i="6"/>
  <c r="F548" i="6"/>
  <c r="F549" i="6" s="1"/>
  <c r="J550" i="6" s="1"/>
  <c r="F114" i="6"/>
  <c r="F115" i="6"/>
  <c r="O229" i="6"/>
  <c r="O241" i="6" s="1"/>
  <c r="O244" i="6" s="1"/>
  <c r="O86" i="6" s="1"/>
  <c r="N241" i="6"/>
  <c r="N244" i="6" s="1"/>
  <c r="N86" i="6" s="1"/>
  <c r="L274" i="6"/>
  <c r="L92" i="6" s="1"/>
  <c r="K274" i="6"/>
  <c r="K92" i="6" s="1"/>
  <c r="K498" i="6"/>
  <c r="K465" i="6"/>
  <c r="N237" i="6"/>
  <c r="M240" i="6"/>
  <c r="M242" i="6" s="1"/>
  <c r="M87" i="6" s="1"/>
  <c r="N477" i="6"/>
  <c r="M490" i="6"/>
  <c r="M492" i="6" s="1"/>
  <c r="M178" i="6" s="1"/>
  <c r="K47" i="4"/>
  <c r="M46" i="4"/>
  <c r="N46" i="4"/>
  <c r="K46" i="4"/>
  <c r="O46" i="4"/>
  <c r="N82" i="4"/>
  <c r="N414" i="4" s="1"/>
  <c r="L47" i="4"/>
  <c r="N47" i="4"/>
  <c r="J517" i="4"/>
  <c r="K517" i="4" s="1"/>
  <c r="L517" i="4" s="1"/>
  <c r="M517" i="4" s="1"/>
  <c r="N517" i="4" s="1"/>
  <c r="O517" i="4" s="1"/>
  <c r="K490" i="4"/>
  <c r="K492" i="4" s="1"/>
  <c r="K178" i="4" s="1"/>
  <c r="O47" i="4"/>
  <c r="M177" i="4"/>
  <c r="N469" i="4"/>
  <c r="N471" i="4" s="1"/>
  <c r="O414" i="4"/>
  <c r="O316" i="4"/>
  <c r="O173" i="4"/>
  <c r="O458" i="4"/>
  <c r="O252" i="4"/>
  <c r="O560" i="4"/>
  <c r="O533" i="4"/>
  <c r="O225" i="4"/>
  <c r="O121" i="4"/>
  <c r="O279" i="4"/>
  <c r="O507" i="4"/>
  <c r="K387" i="4"/>
  <c r="K390" i="4" s="1"/>
  <c r="N156" i="4"/>
  <c r="O467" i="4"/>
  <c r="O156" i="4" s="1"/>
  <c r="M244" i="4"/>
  <c r="M86" i="4" s="1"/>
  <c r="N228" i="4"/>
  <c r="M230" i="4"/>
  <c r="K87" i="4"/>
  <c r="L481" i="4"/>
  <c r="L484" i="4"/>
  <c r="L486" i="4" s="1"/>
  <c r="M483" i="4" s="1"/>
  <c r="O229" i="4"/>
  <c r="O241" i="4" s="1"/>
  <c r="N241" i="4"/>
  <c r="L242" i="4"/>
  <c r="I353" i="4"/>
  <c r="I357" i="4" s="1"/>
  <c r="H367" i="4"/>
  <c r="H369" i="4" s="1"/>
  <c r="N237" i="4"/>
  <c r="M240" i="4"/>
  <c r="J515" i="4" l="1"/>
  <c r="N279" i="4"/>
  <c r="N121" i="4"/>
  <c r="N225" i="4"/>
  <c r="N173" i="4"/>
  <c r="N252" i="4"/>
  <c r="N560" i="4"/>
  <c r="N507" i="4"/>
  <c r="N458" i="4"/>
  <c r="N316" i="4"/>
  <c r="N533" i="4"/>
  <c r="L562" i="6"/>
  <c r="L284" i="6"/>
  <c r="L290" i="6"/>
  <c r="K188" i="6"/>
  <c r="L310" i="6"/>
  <c r="L139" i="6" s="1"/>
  <c r="K310" i="6"/>
  <c r="K139" i="6" s="1"/>
  <c r="J367" i="6"/>
  <c r="J369" i="6" s="1"/>
  <c r="J370" i="6" s="1"/>
  <c r="K353" i="6"/>
  <c r="K357" i="6" s="1"/>
  <c r="K527" i="6"/>
  <c r="L526" i="6"/>
  <c r="N111" i="6"/>
  <c r="O540" i="6"/>
  <c r="O111" i="6" s="1"/>
  <c r="L259" i="6"/>
  <c r="L269" i="6"/>
  <c r="L94" i="6" s="1"/>
  <c r="L296" i="6" s="1"/>
  <c r="L300" i="6" s="1"/>
  <c r="L214" i="6" s="1"/>
  <c r="L305" i="6" s="1"/>
  <c r="L264" i="6"/>
  <c r="L97" i="6" s="1"/>
  <c r="L524" i="6"/>
  <c r="K525" i="6"/>
  <c r="N240" i="6"/>
  <c r="N242" i="6" s="1"/>
  <c r="N87" i="6" s="1"/>
  <c r="O237" i="6"/>
  <c r="O240" i="6" s="1"/>
  <c r="O242" i="6" s="1"/>
  <c r="O87" i="6" s="1"/>
  <c r="L288" i="6"/>
  <c r="L308" i="6"/>
  <c r="L138" i="6" s="1"/>
  <c r="K308" i="6"/>
  <c r="K138" i="6" s="1"/>
  <c r="K185" i="6"/>
  <c r="K180" i="6"/>
  <c r="L465" i="6"/>
  <c r="K500" i="6"/>
  <c r="L293" i="6"/>
  <c r="K215" i="6"/>
  <c r="K304" i="6" s="1"/>
  <c r="L498" i="6"/>
  <c r="K205" i="6"/>
  <c r="K206" i="6" s="1"/>
  <c r="K501" i="6"/>
  <c r="K502" i="6" s="1"/>
  <c r="K132" i="6" s="1"/>
  <c r="O469" i="6"/>
  <c r="O471" i="6" s="1"/>
  <c r="O177" i="6" s="1"/>
  <c r="N177" i="6"/>
  <c r="N458" i="6"/>
  <c r="N279" i="6"/>
  <c r="N252" i="6"/>
  <c r="N560" i="6"/>
  <c r="N414" i="6"/>
  <c r="N316" i="6"/>
  <c r="N121" i="6"/>
  <c r="N507" i="6"/>
  <c r="N173" i="6"/>
  <c r="N225" i="6"/>
  <c r="N533" i="6"/>
  <c r="O458" i="6"/>
  <c r="O279" i="6"/>
  <c r="O252" i="6"/>
  <c r="O507" i="6"/>
  <c r="O560" i="6"/>
  <c r="O316" i="6"/>
  <c r="O121" i="6"/>
  <c r="O173" i="6"/>
  <c r="O225" i="6"/>
  <c r="O533" i="6"/>
  <c r="O414" i="6"/>
  <c r="N484" i="6"/>
  <c r="N481" i="6"/>
  <c r="L386" i="6"/>
  <c r="K392" i="6"/>
  <c r="O230" i="6"/>
  <c r="M254" i="6"/>
  <c r="M91" i="6"/>
  <c r="M85" i="6"/>
  <c r="M460" i="6"/>
  <c r="M461" i="6" s="1"/>
  <c r="M282" i="6"/>
  <c r="M283" i="6" s="1"/>
  <c r="M521" i="6"/>
  <c r="M522" i="6" s="1"/>
  <c r="K284" i="6"/>
  <c r="K285" i="6" s="1"/>
  <c r="K562" i="6"/>
  <c r="K428" i="6"/>
  <c r="L68" i="6"/>
  <c r="O469" i="4"/>
  <c r="O471" i="4" s="1"/>
  <c r="O177" i="4" s="1"/>
  <c r="N177" i="4"/>
  <c r="N230" i="4"/>
  <c r="O228" i="4"/>
  <c r="O230" i="4" s="1"/>
  <c r="O244" i="4"/>
  <c r="O86" i="4" s="1"/>
  <c r="N244" i="4"/>
  <c r="N86" i="4" s="1"/>
  <c r="L386" i="4"/>
  <c r="K392" i="4"/>
  <c r="L87" i="4"/>
  <c r="L494" i="4"/>
  <c r="L127" i="4" s="1"/>
  <c r="M242" i="4"/>
  <c r="K521" i="4"/>
  <c r="K522" i="4" s="1"/>
  <c r="K254" i="4"/>
  <c r="K460" i="4"/>
  <c r="K461" i="4" s="1"/>
  <c r="K85" i="4"/>
  <c r="K91" i="4"/>
  <c r="K282" i="4"/>
  <c r="K283" i="4" s="1"/>
  <c r="L490" i="4"/>
  <c r="L492" i="4" s="1"/>
  <c r="L178" i="4" s="1"/>
  <c r="M477" i="4"/>
  <c r="N240" i="4"/>
  <c r="O237" i="4"/>
  <c r="J353" i="4"/>
  <c r="J357" i="4" s="1"/>
  <c r="I367" i="4"/>
  <c r="I369" i="4" s="1"/>
  <c r="O477" i="6" l="1"/>
  <c r="N460" i="6"/>
  <c r="N461" i="6" s="1"/>
  <c r="N282" i="6"/>
  <c r="N283" i="6" s="1"/>
  <c r="N85" i="6"/>
  <c r="N91" i="6"/>
  <c r="N254" i="6"/>
  <c r="N521" i="6"/>
  <c r="N522" i="6" s="1"/>
  <c r="L525" i="6"/>
  <c r="M524" i="6"/>
  <c r="M259" i="6"/>
  <c r="M269" i="6"/>
  <c r="M94" i="6" s="1"/>
  <c r="M296" i="6" s="1"/>
  <c r="M300" i="6" s="1"/>
  <c r="M214" i="6" s="1"/>
  <c r="M305" i="6" s="1"/>
  <c r="M264" i="6"/>
  <c r="M97" i="6" s="1"/>
  <c r="M274" i="6"/>
  <c r="M92" i="6" s="1"/>
  <c r="L188" i="6"/>
  <c r="M290" i="6"/>
  <c r="M310" i="6"/>
  <c r="M139" i="6" s="1"/>
  <c r="K292" i="6"/>
  <c r="K289" i="6"/>
  <c r="M288" i="6"/>
  <c r="L185" i="6"/>
  <c r="O521" i="6"/>
  <c r="O460" i="6"/>
  <c r="O461" i="6" s="1"/>
  <c r="O254" i="6"/>
  <c r="O85" i="6"/>
  <c r="O282" i="6"/>
  <c r="O283" i="6" s="1"/>
  <c r="O91" i="6"/>
  <c r="L501" i="6"/>
  <c r="M498" i="6"/>
  <c r="L205" i="6"/>
  <c r="L206" i="6" s="1"/>
  <c r="M284" i="6"/>
  <c r="M285" i="6" s="1"/>
  <c r="N494" i="6"/>
  <c r="N127" i="6" s="1"/>
  <c r="N486" i="6"/>
  <c r="O483" i="6" s="1"/>
  <c r="M526" i="6"/>
  <c r="L527" i="6"/>
  <c r="K367" i="6"/>
  <c r="K371" i="6" s="1"/>
  <c r="L353" i="6"/>
  <c r="L215" i="6"/>
  <c r="L304" i="6" s="1"/>
  <c r="M293" i="6"/>
  <c r="L428" i="6"/>
  <c r="M68" i="6"/>
  <c r="L180" i="6"/>
  <c r="M465" i="6"/>
  <c r="L285" i="6"/>
  <c r="L500" i="6"/>
  <c r="O240" i="4"/>
  <c r="O242" i="4" s="1"/>
  <c r="K284" i="4"/>
  <c r="K285" i="4" s="1"/>
  <c r="N242" i="4"/>
  <c r="M87" i="4"/>
  <c r="K269" i="4"/>
  <c r="K94" i="4" s="1"/>
  <c r="K296" i="4" s="1"/>
  <c r="K300" i="4" s="1"/>
  <c r="K214" i="4" s="1"/>
  <c r="K305" i="4" s="1"/>
  <c r="K264" i="4"/>
  <c r="K97" i="4" s="1"/>
  <c r="K259" i="4"/>
  <c r="K274" i="4"/>
  <c r="K92" i="4" s="1"/>
  <c r="M481" i="4"/>
  <c r="M484" i="4"/>
  <c r="K524" i="4"/>
  <c r="K526" i="4"/>
  <c r="K498" i="4"/>
  <c r="K465" i="4"/>
  <c r="J367" i="4"/>
  <c r="J369" i="4" s="1"/>
  <c r="J370" i="4" s="1"/>
  <c r="K353" i="4"/>
  <c r="K357" i="4" s="1"/>
  <c r="K290" i="4"/>
  <c r="K68" i="4"/>
  <c r="K293" i="4"/>
  <c r="K288" i="4"/>
  <c r="L521" i="4"/>
  <c r="L522" i="4" s="1"/>
  <c r="L254" i="4"/>
  <c r="L460" i="4"/>
  <c r="L461" i="4" s="1"/>
  <c r="L282" i="4"/>
  <c r="L283" i="4" s="1"/>
  <c r="L91" i="4"/>
  <c r="L85" i="4"/>
  <c r="M525" i="6" l="1"/>
  <c r="N524" i="6"/>
  <c r="K360" i="6"/>
  <c r="K363" i="6" s="1"/>
  <c r="K406" i="6"/>
  <c r="N259" i="6"/>
  <c r="N264" i="6"/>
  <c r="N97" i="6" s="1"/>
  <c r="N269" i="6"/>
  <c r="N94" i="6" s="1"/>
  <c r="N296" i="6" s="1"/>
  <c r="N300" i="6" s="1"/>
  <c r="N214" i="6" s="1"/>
  <c r="N305" i="6" s="1"/>
  <c r="N274" i="6"/>
  <c r="N92" i="6" s="1"/>
  <c r="O284" i="6"/>
  <c r="O285" i="6" s="1"/>
  <c r="O562" i="6"/>
  <c r="N465" i="6"/>
  <c r="M180" i="6"/>
  <c r="N500" i="6"/>
  <c r="M188" i="6"/>
  <c r="N290" i="6"/>
  <c r="N310" i="6"/>
  <c r="N139" i="6" s="1"/>
  <c r="M500" i="6"/>
  <c r="M428" i="6"/>
  <c r="N68" i="6"/>
  <c r="N308" i="6"/>
  <c r="N138" i="6" s="1"/>
  <c r="M185" i="6"/>
  <c r="N288" i="6"/>
  <c r="M308" i="6"/>
  <c r="M138" i="6" s="1"/>
  <c r="L502" i="6"/>
  <c r="L132" i="6" s="1"/>
  <c r="M527" i="6"/>
  <c r="N526" i="6"/>
  <c r="N284" i="6"/>
  <c r="N285" i="6" s="1"/>
  <c r="M562" i="6"/>
  <c r="N490" i="6"/>
  <c r="N492" i="6" s="1"/>
  <c r="N178" i="6" s="1"/>
  <c r="M501" i="6"/>
  <c r="M502" i="6" s="1"/>
  <c r="M132" i="6" s="1"/>
  <c r="M205" i="6"/>
  <c r="M206" i="6" s="1"/>
  <c r="N498" i="6"/>
  <c r="K309" i="6"/>
  <c r="K137" i="6" s="1"/>
  <c r="L289" i="6"/>
  <c r="K184" i="6"/>
  <c r="L309" i="6"/>
  <c r="L137" i="6" s="1"/>
  <c r="K303" i="6"/>
  <c r="K306" i="6" s="1"/>
  <c r="K140" i="6" s="1"/>
  <c r="K213" i="6"/>
  <c r="L292" i="6"/>
  <c r="O269" i="6"/>
  <c r="O94" i="6" s="1"/>
  <c r="O296" i="6" s="1"/>
  <c r="O300" i="6" s="1"/>
  <c r="O214" i="6" s="1"/>
  <c r="O305" i="6" s="1"/>
  <c r="O264" i="6"/>
  <c r="O97" i="6" s="1"/>
  <c r="O259" i="6"/>
  <c r="O274" i="6"/>
  <c r="O92" i="6" s="1"/>
  <c r="M215" i="6"/>
  <c r="M304" i="6" s="1"/>
  <c r="N293" i="6"/>
  <c r="O522" i="6"/>
  <c r="O481" i="6"/>
  <c r="O484" i="6"/>
  <c r="L498" i="4"/>
  <c r="K205" i="4"/>
  <c r="K206" i="4" s="1"/>
  <c r="K501" i="4"/>
  <c r="K527" i="4"/>
  <c r="L526" i="4"/>
  <c r="K215" i="4"/>
  <c r="K304" i="4" s="1"/>
  <c r="L293" i="4"/>
  <c r="L524" i="4"/>
  <c r="K525" i="4"/>
  <c r="K188" i="4"/>
  <c r="L290" i="4"/>
  <c r="L310" i="4" s="1"/>
  <c r="L139" i="4" s="1"/>
  <c r="K310" i="4"/>
  <c r="K139" i="4" s="1"/>
  <c r="O87" i="4"/>
  <c r="K180" i="4"/>
  <c r="L465" i="4"/>
  <c r="K500" i="4"/>
  <c r="M254" i="4"/>
  <c r="M282" i="4"/>
  <c r="M283" i="4" s="1"/>
  <c r="M521" i="4"/>
  <c r="M522" i="4" s="1"/>
  <c r="M91" i="4"/>
  <c r="M460" i="4"/>
  <c r="M461" i="4" s="1"/>
  <c r="M85" i="4"/>
  <c r="K428" i="4"/>
  <c r="L68" i="4"/>
  <c r="K562" i="4"/>
  <c r="L269" i="4"/>
  <c r="L94" i="4" s="1"/>
  <c r="L296" i="4" s="1"/>
  <c r="L300" i="4" s="1"/>
  <c r="L214" i="4" s="1"/>
  <c r="L305" i="4" s="1"/>
  <c r="L264" i="4"/>
  <c r="L97" i="4" s="1"/>
  <c r="L259" i="4"/>
  <c r="L274" i="4"/>
  <c r="L92" i="4" s="1"/>
  <c r="L562" i="4" s="1"/>
  <c r="K185" i="4"/>
  <c r="K575" i="4" s="1"/>
  <c r="K308" i="4"/>
  <c r="K138" i="4" s="1"/>
  <c r="L288" i="4"/>
  <c r="N87" i="4"/>
  <c r="K367" i="4"/>
  <c r="K371" i="4" s="1"/>
  <c r="L353" i="4"/>
  <c r="M494" i="4"/>
  <c r="M127" i="4" s="1"/>
  <c r="M486" i="4"/>
  <c r="N483" i="4" s="1"/>
  <c r="L284" i="4"/>
  <c r="L285" i="4" s="1"/>
  <c r="N477" i="4"/>
  <c r="K292" i="4"/>
  <c r="K289" i="4"/>
  <c r="M490" i="4" l="1"/>
  <c r="M492" i="4" s="1"/>
  <c r="M178" i="4" s="1"/>
  <c r="N562" i="6"/>
  <c r="N428" i="6"/>
  <c r="O68" i="6"/>
  <c r="O428" i="6" s="1"/>
  <c r="O290" i="6"/>
  <c r="O188" i="6" s="1"/>
  <c r="N188" i="6"/>
  <c r="O490" i="6"/>
  <c r="O492" i="6" s="1"/>
  <c r="O178" i="6" s="1"/>
  <c r="L213" i="6"/>
  <c r="M292" i="6"/>
  <c r="L303" i="6"/>
  <c r="L306" i="6" s="1"/>
  <c r="L140" i="6" s="1"/>
  <c r="O494" i="6"/>
  <c r="O127" i="6" s="1"/>
  <c r="O486" i="6"/>
  <c r="M289" i="6"/>
  <c r="L184" i="6"/>
  <c r="M309" i="6"/>
  <c r="M137" i="6" s="1"/>
  <c r="N215" i="6"/>
  <c r="N304" i="6" s="1"/>
  <c r="O293" i="6"/>
  <c r="O215" i="6" s="1"/>
  <c r="O304" i="6" s="1"/>
  <c r="N525" i="6"/>
  <c r="O524" i="6"/>
  <c r="O525" i="6" s="1"/>
  <c r="N527" i="6"/>
  <c r="O526" i="6"/>
  <c r="O527" i="6" s="1"/>
  <c r="K126" i="6"/>
  <c r="L58" i="6"/>
  <c r="K495" i="6"/>
  <c r="K96" i="6" s="1"/>
  <c r="L359" i="6"/>
  <c r="K365" i="6"/>
  <c r="K408" i="6" s="1"/>
  <c r="K175" i="6" s="1"/>
  <c r="K181" i="6" s="1"/>
  <c r="N501" i="6"/>
  <c r="N502" i="6" s="1"/>
  <c r="N132" i="6" s="1"/>
  <c r="N205" i="6"/>
  <c r="N206" i="6" s="1"/>
  <c r="O498" i="6"/>
  <c r="N185" i="6"/>
  <c r="O288" i="6"/>
  <c r="O185" i="6" s="1"/>
  <c r="O465" i="6"/>
  <c r="O180" i="6" s="1"/>
  <c r="O500" i="6"/>
  <c r="N180" i="6"/>
  <c r="K360" i="4"/>
  <c r="K363" i="4" s="1"/>
  <c r="K406" i="4"/>
  <c r="N460" i="4"/>
  <c r="N461" i="4" s="1"/>
  <c r="N282" i="4"/>
  <c r="N283" i="4" s="1"/>
  <c r="N254" i="4"/>
  <c r="N521" i="4"/>
  <c r="N522" i="4" s="1"/>
  <c r="N91" i="4"/>
  <c r="N85" i="4"/>
  <c r="M526" i="4"/>
  <c r="L527" i="4"/>
  <c r="M269" i="4"/>
  <c r="M94" i="4" s="1"/>
  <c r="M296" i="4" s="1"/>
  <c r="M300" i="4" s="1"/>
  <c r="M214" i="4" s="1"/>
  <c r="M305" i="4" s="1"/>
  <c r="M259" i="4"/>
  <c r="M264" i="4"/>
  <c r="M97" i="4" s="1"/>
  <c r="M274" i="4"/>
  <c r="M92" i="4" s="1"/>
  <c r="M562" i="4" s="1"/>
  <c r="L289" i="4"/>
  <c r="L309" i="4" s="1"/>
  <c r="L137" i="4" s="1"/>
  <c r="K309" i="4"/>
  <c r="K137" i="4" s="1"/>
  <c r="K184" i="4"/>
  <c r="K576" i="4" s="1"/>
  <c r="L292" i="4"/>
  <c r="K303" i="4"/>
  <c r="K306" i="4" s="1"/>
  <c r="K140" i="4" s="1"/>
  <c r="K213" i="4"/>
  <c r="K577" i="4" s="1"/>
  <c r="M293" i="4"/>
  <c r="L215" i="4"/>
  <c r="L304" i="4" s="1"/>
  <c r="O460" i="4"/>
  <c r="O282" i="4"/>
  <c r="O521" i="4"/>
  <c r="O254" i="4"/>
  <c r="O85" i="4"/>
  <c r="O91" i="4"/>
  <c r="K502" i="4"/>
  <c r="K132" i="4" s="1"/>
  <c r="M524" i="4"/>
  <c r="L525" i="4"/>
  <c r="L428" i="4"/>
  <c r="M68" i="4"/>
  <c r="N481" i="4"/>
  <c r="N484" i="4"/>
  <c r="N486" i="4" s="1"/>
  <c r="O483" i="4" s="1"/>
  <c r="M498" i="4"/>
  <c r="L501" i="4"/>
  <c r="L205" i="4"/>
  <c r="L206" i="4" s="1"/>
  <c r="M465" i="4"/>
  <c r="M500" i="4" s="1"/>
  <c r="L180" i="4"/>
  <c r="L500" i="4"/>
  <c r="L185" i="4"/>
  <c r="L575" i="4" s="1"/>
  <c r="M288" i="4"/>
  <c r="M308" i="4" s="1"/>
  <c r="M138" i="4" s="1"/>
  <c r="L308" i="4"/>
  <c r="L138" i="4" s="1"/>
  <c r="M284" i="4"/>
  <c r="M285" i="4" s="1"/>
  <c r="M290" i="4"/>
  <c r="L188" i="4"/>
  <c r="M310" i="4"/>
  <c r="M139" i="4" s="1"/>
  <c r="K578" i="4" l="1"/>
  <c r="N292" i="6"/>
  <c r="M303" i="6"/>
  <c r="M306" i="6" s="1"/>
  <c r="M140" i="6" s="1"/>
  <c r="M213" i="6"/>
  <c r="O310" i="6"/>
  <c r="O139" i="6" s="1"/>
  <c r="O308" i="6"/>
  <c r="O138" i="6" s="1"/>
  <c r="O205" i="6"/>
  <c r="O206" i="6" s="1"/>
  <c r="O501" i="6"/>
  <c r="O502" i="6" s="1"/>
  <c r="O132" i="6" s="1"/>
  <c r="N289" i="6"/>
  <c r="N309" i="6" s="1"/>
  <c r="N137" i="6" s="1"/>
  <c r="M184" i="6"/>
  <c r="L319" i="6"/>
  <c r="L62" i="6"/>
  <c r="O461" i="4"/>
  <c r="L502" i="4"/>
  <c r="L132" i="4" s="1"/>
  <c r="O283" i="4"/>
  <c r="N494" i="4"/>
  <c r="N127" i="4" s="1"/>
  <c r="M501" i="4"/>
  <c r="M502" i="4" s="1"/>
  <c r="M132" i="4" s="1"/>
  <c r="M205" i="4"/>
  <c r="M206" i="4" s="1"/>
  <c r="N498" i="4"/>
  <c r="M185" i="4"/>
  <c r="M575" i="4" s="1"/>
  <c r="N288" i="4"/>
  <c r="O522" i="4"/>
  <c r="M292" i="4"/>
  <c r="L303" i="4"/>
  <c r="L306" i="4" s="1"/>
  <c r="L140" i="4" s="1"/>
  <c r="L213" i="4"/>
  <c r="L577" i="4" s="1"/>
  <c r="N284" i="4"/>
  <c r="N285" i="4" s="1"/>
  <c r="O264" i="4"/>
  <c r="O97" i="4" s="1"/>
  <c r="O269" i="4"/>
  <c r="O94" i="4" s="1"/>
  <c r="O296" i="4" s="1"/>
  <c r="O300" i="4" s="1"/>
  <c r="O214" i="4" s="1"/>
  <c r="O259" i="4"/>
  <c r="O274" i="4"/>
  <c r="O92" i="4" s="1"/>
  <c r="O562" i="4" s="1"/>
  <c r="K126" i="4"/>
  <c r="L58" i="4"/>
  <c r="K495" i="4"/>
  <c r="K96" i="4" s="1"/>
  <c r="N526" i="4"/>
  <c r="M527" i="4"/>
  <c r="O284" i="4"/>
  <c r="N490" i="4"/>
  <c r="N492" i="4" s="1"/>
  <c r="N178" i="4" s="1"/>
  <c r="O477" i="4"/>
  <c r="M289" i="4"/>
  <c r="M309" i="4" s="1"/>
  <c r="M137" i="4" s="1"/>
  <c r="L184" i="4"/>
  <c r="L576" i="4" s="1"/>
  <c r="L578" i="4" s="1"/>
  <c r="N264" i="4"/>
  <c r="N97" i="4" s="1"/>
  <c r="N259" i="4"/>
  <c r="N269" i="4"/>
  <c r="N94" i="4" s="1"/>
  <c r="N296" i="4" s="1"/>
  <c r="N300" i="4" s="1"/>
  <c r="N214" i="4" s="1"/>
  <c r="N305" i="4" s="1"/>
  <c r="N274" i="4"/>
  <c r="N92" i="4" s="1"/>
  <c r="N562" i="4" s="1"/>
  <c r="M428" i="4"/>
  <c r="N68" i="4"/>
  <c r="N290" i="4"/>
  <c r="N310" i="4" s="1"/>
  <c r="N139" i="4" s="1"/>
  <c r="M188" i="4"/>
  <c r="N465" i="4"/>
  <c r="N500" i="4" s="1"/>
  <c r="M180" i="4"/>
  <c r="N524" i="4"/>
  <c r="M525" i="4"/>
  <c r="N293" i="4"/>
  <c r="M215" i="4"/>
  <c r="M304" i="4" s="1"/>
  <c r="L359" i="4"/>
  <c r="K365" i="4"/>
  <c r="K408" i="4" s="1"/>
  <c r="K175" i="4" s="1"/>
  <c r="K181" i="4" s="1"/>
  <c r="O289" i="6" l="1"/>
  <c r="O184" i="6" s="1"/>
  <c r="O309" i="6"/>
  <c r="O137" i="6" s="1"/>
  <c r="N184" i="6"/>
  <c r="L323" i="6"/>
  <c r="L326" i="6"/>
  <c r="L147" i="6" s="1"/>
  <c r="O292" i="6"/>
  <c r="N303" i="6"/>
  <c r="N306" i="6" s="1"/>
  <c r="N140" i="6" s="1"/>
  <c r="N213" i="6"/>
  <c r="O285" i="4"/>
  <c r="O305" i="4"/>
  <c r="N525" i="4"/>
  <c r="O524" i="4"/>
  <c r="O525" i="4" s="1"/>
  <c r="N185" i="4"/>
  <c r="N575" i="4" s="1"/>
  <c r="O288" i="4"/>
  <c r="O185" i="4" s="1"/>
  <c r="O575" i="4" s="1"/>
  <c r="N289" i="4"/>
  <c r="M184" i="4"/>
  <c r="M576" i="4" s="1"/>
  <c r="M578" i="4" s="1"/>
  <c r="N308" i="4"/>
  <c r="N138" i="4" s="1"/>
  <c r="O465" i="4"/>
  <c r="O180" i="4" s="1"/>
  <c r="N180" i="4"/>
  <c r="N188" i="4"/>
  <c r="O290" i="4"/>
  <c r="O188" i="4" s="1"/>
  <c r="N428" i="4"/>
  <c r="O68" i="4"/>
  <c r="O428" i="4" s="1"/>
  <c r="M303" i="4"/>
  <c r="M306" i="4" s="1"/>
  <c r="M140" i="4" s="1"/>
  <c r="M213" i="4"/>
  <c r="M577" i="4" s="1"/>
  <c r="N292" i="4"/>
  <c r="L319" i="4"/>
  <c r="L62" i="4"/>
  <c r="O481" i="4"/>
  <c r="O484" i="4"/>
  <c r="N501" i="4"/>
  <c r="N502" i="4" s="1"/>
  <c r="N132" i="4" s="1"/>
  <c r="O498" i="4"/>
  <c r="N205" i="4"/>
  <c r="N206" i="4" s="1"/>
  <c r="O293" i="4"/>
  <c r="O215" i="4" s="1"/>
  <c r="N215" i="4"/>
  <c r="N304" i="4" s="1"/>
  <c r="O526" i="4"/>
  <c r="O527" i="4" s="1"/>
  <c r="N527" i="4"/>
  <c r="L330" i="6" l="1"/>
  <c r="L346" i="6" s="1"/>
  <c r="L349" i="6" s="1"/>
  <c r="M345" i="6" s="1"/>
  <c r="L332" i="6"/>
  <c r="L381" i="6" s="1"/>
  <c r="L384" i="6" s="1"/>
  <c r="L331" i="6"/>
  <c r="L337" i="6" s="1"/>
  <c r="O303" i="6"/>
  <c r="O306" i="6" s="1"/>
  <c r="O140" i="6" s="1"/>
  <c r="O213" i="6"/>
  <c r="L570" i="6"/>
  <c r="O500" i="4"/>
  <c r="O310" i="4"/>
  <c r="O139" i="4" s="1"/>
  <c r="N303" i="4"/>
  <c r="N306" i="4" s="1"/>
  <c r="N140" i="4" s="1"/>
  <c r="N213" i="4"/>
  <c r="N577" i="4" s="1"/>
  <c r="O292" i="4"/>
  <c r="O304" i="4"/>
  <c r="O289" i="4"/>
  <c r="O184" i="4" s="1"/>
  <c r="N184" i="4"/>
  <c r="N576" i="4" s="1"/>
  <c r="L323" i="4"/>
  <c r="L326" i="4"/>
  <c r="L147" i="4" s="1"/>
  <c r="L584" i="4" s="1"/>
  <c r="O501" i="4"/>
  <c r="O205" i="4"/>
  <c r="O206" i="4" s="1"/>
  <c r="N309" i="4"/>
  <c r="N137" i="4" s="1"/>
  <c r="O494" i="4"/>
  <c r="O127" i="4" s="1"/>
  <c r="O486" i="4"/>
  <c r="O490" i="4" s="1"/>
  <c r="O492" i="4" s="1"/>
  <c r="O178" i="4" s="1"/>
  <c r="O308" i="4"/>
  <c r="O138" i="4" s="1"/>
  <c r="N578" i="4" l="1"/>
  <c r="O576" i="4"/>
  <c r="O502" i="4"/>
  <c r="O132" i="4" s="1"/>
  <c r="L338" i="6"/>
  <c r="L354" i="6" s="1"/>
  <c r="L357" i="6" s="1"/>
  <c r="L339" i="6"/>
  <c r="M336" i="6" s="1"/>
  <c r="L394" i="6"/>
  <c r="L398" i="6" s="1"/>
  <c r="M380" i="6"/>
  <c r="L331" i="4"/>
  <c r="L337" i="4" s="1"/>
  <c r="L330" i="4"/>
  <c r="L346" i="4" s="1"/>
  <c r="L349" i="4" s="1"/>
  <c r="M345" i="4" s="1"/>
  <c r="L332" i="4"/>
  <c r="L381" i="4" s="1"/>
  <c r="L384" i="4" s="1"/>
  <c r="O309" i="4"/>
  <c r="O137" i="4" s="1"/>
  <c r="O303" i="4"/>
  <c r="O306" i="4" s="1"/>
  <c r="O140" i="4" s="1"/>
  <c r="O213" i="4"/>
  <c r="O577" i="4" s="1"/>
  <c r="O578" i="4" l="1"/>
  <c r="L387" i="6"/>
  <c r="L390" i="6" s="1"/>
  <c r="L367" i="6"/>
  <c r="L371" i="6" s="1"/>
  <c r="L360" i="6" s="1"/>
  <c r="L363" i="6" s="1"/>
  <c r="M359" i="6" s="1"/>
  <c r="M353" i="6"/>
  <c r="L394" i="4"/>
  <c r="L398" i="4" s="1"/>
  <c r="M380" i="4"/>
  <c r="L338" i="4"/>
  <c r="L354" i="4" s="1"/>
  <c r="L357" i="4" s="1"/>
  <c r="L339" i="4" l="1"/>
  <c r="M336" i="4" s="1"/>
  <c r="L365" i="6"/>
  <c r="M386" i="6"/>
  <c r="L392" i="6"/>
  <c r="L408" i="6" s="1"/>
  <c r="L175" i="6" s="1"/>
  <c r="L181" i="6" s="1"/>
  <c r="L406" i="6"/>
  <c r="L387" i="4"/>
  <c r="L390" i="4" s="1"/>
  <c r="L367" i="4"/>
  <c r="L371" i="4" s="1"/>
  <c r="L360" i="4" s="1"/>
  <c r="L363" i="4" s="1"/>
  <c r="M359" i="4" s="1"/>
  <c r="M353" i="4"/>
  <c r="M58" i="6" l="1"/>
  <c r="L126" i="6"/>
  <c r="L495" i="6"/>
  <c r="L96" i="6" s="1"/>
  <c r="L365" i="4"/>
  <c r="L406" i="4"/>
  <c r="M386" i="4"/>
  <c r="L392" i="4"/>
  <c r="J189" i="3"/>
  <c r="J188" i="3"/>
  <c r="J187" i="3"/>
  <c r="J186" i="3"/>
  <c r="I186" i="3"/>
  <c r="G126" i="3"/>
  <c r="F126" i="3"/>
  <c r="F182" i="3" s="1"/>
  <c r="E126" i="3"/>
  <c r="D126" i="3"/>
  <c r="C126" i="3"/>
  <c r="D182" i="3"/>
  <c r="G182" i="3"/>
  <c r="E182" i="3"/>
  <c r="D181" i="3"/>
  <c r="E181" i="3"/>
  <c r="F181" i="3"/>
  <c r="G181" i="3"/>
  <c r="C182" i="3"/>
  <c r="G56" i="3"/>
  <c r="F53" i="3"/>
  <c r="F54" i="3"/>
  <c r="F55" i="3"/>
  <c r="F56" i="3"/>
  <c r="E56" i="3"/>
  <c r="D56" i="3"/>
  <c r="F52" i="3"/>
  <c r="D52" i="3"/>
  <c r="C53" i="3"/>
  <c r="C54" i="3" s="1"/>
  <c r="C55" i="3" s="1"/>
  <c r="C56" i="3" s="1"/>
  <c r="C113" i="3"/>
  <c r="C114" i="3" s="1"/>
  <c r="C115" i="3" s="1"/>
  <c r="C116" i="3" s="1"/>
  <c r="C117" i="3" s="1"/>
  <c r="C122" i="3"/>
  <c r="C123" i="3" s="1"/>
  <c r="C124" i="3" s="1"/>
  <c r="C125" i="3" s="1"/>
  <c r="C178" i="3"/>
  <c r="C179" i="3" s="1"/>
  <c r="C180" i="3" s="1"/>
  <c r="C181" i="3" s="1"/>
  <c r="M147" i="3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K147" i="3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G148" i="3"/>
  <c r="N146" i="3" s="1"/>
  <c r="D135" i="3"/>
  <c r="G132" i="3"/>
  <c r="N131" i="3" s="1"/>
  <c r="M132" i="3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D107" i="3"/>
  <c r="O83" i="3"/>
  <c r="N84" i="3"/>
  <c r="O84" i="3" s="1"/>
  <c r="E80" i="3"/>
  <c r="G83" i="3" s="1"/>
  <c r="G84" i="3" s="1"/>
  <c r="G85" i="3" s="1"/>
  <c r="G86" i="3" s="1"/>
  <c r="G87" i="3" s="1"/>
  <c r="G69" i="3"/>
  <c r="D69" i="3"/>
  <c r="N70" i="3"/>
  <c r="O70" i="3" s="1"/>
  <c r="O69" i="3"/>
  <c r="O48" i="3"/>
  <c r="O47" i="3"/>
  <c r="O45" i="3"/>
  <c r="O46" i="3"/>
  <c r="O44" i="3"/>
  <c r="O42" i="3"/>
  <c r="O43" i="3"/>
  <c r="O41" i="3"/>
  <c r="O39" i="3"/>
  <c r="O40" i="3"/>
  <c r="O38" i="3"/>
  <c r="H38" i="3"/>
  <c r="D39" i="3" s="1"/>
  <c r="H39" i="3" s="1"/>
  <c r="D40" i="3" s="1"/>
  <c r="H40" i="3" s="1"/>
  <c r="D41" i="3" s="1"/>
  <c r="H41" i="3" s="1"/>
  <c r="G55" i="3" s="1"/>
  <c r="O33" i="3"/>
  <c r="O32" i="3"/>
  <c r="O31" i="3"/>
  <c r="O30" i="3"/>
  <c r="O29" i="3"/>
  <c r="O28" i="3"/>
  <c r="H26" i="3"/>
  <c r="D27" i="3" s="1"/>
  <c r="H27" i="3" s="1"/>
  <c r="D28" i="3" s="1"/>
  <c r="H28" i="3" s="1"/>
  <c r="O27" i="3"/>
  <c r="O26" i="3"/>
  <c r="O21" i="3"/>
  <c r="O20" i="3"/>
  <c r="O12" i="3"/>
  <c r="O11" i="3"/>
  <c r="H17" i="3"/>
  <c r="D18" i="3" s="1"/>
  <c r="H18" i="3" s="1"/>
  <c r="O18" i="3"/>
  <c r="O19" i="3"/>
  <c r="O17" i="3"/>
  <c r="G9" i="3"/>
  <c r="H8" i="3"/>
  <c r="D9" i="3" s="1"/>
  <c r="O10" i="3"/>
  <c r="O9" i="3"/>
  <c r="O8" i="3"/>
  <c r="L408" i="4" l="1"/>
  <c r="L175" i="4" s="1"/>
  <c r="L181" i="4" s="1"/>
  <c r="M319" i="6"/>
  <c r="M62" i="6"/>
  <c r="L126" i="4"/>
  <c r="M58" i="4"/>
  <c r="L495" i="4"/>
  <c r="L96" i="4" s="1"/>
  <c r="F28" i="3"/>
  <c r="D54" i="3"/>
  <c r="G54" i="3"/>
  <c r="D53" i="3"/>
  <c r="G52" i="3"/>
  <c r="D55" i="3"/>
  <c r="O146" i="3"/>
  <c r="O131" i="3"/>
  <c r="H69" i="3"/>
  <c r="D70" i="3" s="1"/>
  <c r="E105" i="3"/>
  <c r="N85" i="3"/>
  <c r="O85" i="3" s="1"/>
  <c r="D83" i="3"/>
  <c r="F39" i="3"/>
  <c r="F40" i="3"/>
  <c r="F26" i="3"/>
  <c r="H9" i="3"/>
  <c r="G53" i="3" s="1"/>
  <c r="N71" i="3"/>
  <c r="F41" i="3"/>
  <c r="E55" i="3" s="1"/>
  <c r="F8" i="3"/>
  <c r="F18" i="3"/>
  <c r="F38" i="3"/>
  <c r="F17" i="3"/>
  <c r="F27" i="3"/>
  <c r="F9" i="3"/>
  <c r="M323" i="6" l="1"/>
  <c r="M326" i="6"/>
  <c r="M147" i="6" s="1"/>
  <c r="M319" i="4"/>
  <c r="M62" i="4"/>
  <c r="E53" i="3"/>
  <c r="E54" i="3"/>
  <c r="E52" i="3"/>
  <c r="H83" i="3"/>
  <c r="D84" i="3" s="1"/>
  <c r="H84" i="3" s="1"/>
  <c r="D85" i="3" s="1"/>
  <c r="H85" i="3" s="1"/>
  <c r="D86" i="3" s="1"/>
  <c r="H70" i="3"/>
  <c r="D71" i="3" s="1"/>
  <c r="P146" i="3"/>
  <c r="L147" i="3" s="1"/>
  <c r="P131" i="3"/>
  <c r="L132" i="3" s="1"/>
  <c r="N86" i="3"/>
  <c r="N87" i="3" s="1"/>
  <c r="D112" i="3"/>
  <c r="N72" i="3"/>
  <c r="O71" i="3"/>
  <c r="M570" i="6" l="1"/>
  <c r="M332" i="6"/>
  <c r="M381" i="6" s="1"/>
  <c r="M384" i="6" s="1"/>
  <c r="M330" i="6"/>
  <c r="M346" i="6" s="1"/>
  <c r="M349" i="6" s="1"/>
  <c r="N345" i="6" s="1"/>
  <c r="M331" i="6"/>
  <c r="M337" i="6" s="1"/>
  <c r="M323" i="4"/>
  <c r="M326" i="4"/>
  <c r="M147" i="4" s="1"/>
  <c r="M584" i="4" s="1"/>
  <c r="D177" i="3"/>
  <c r="E186" i="3" s="1"/>
  <c r="D121" i="3"/>
  <c r="G71" i="3"/>
  <c r="H86" i="3"/>
  <c r="D87" i="3" s="1"/>
  <c r="N147" i="3"/>
  <c r="N132" i="3"/>
  <c r="O86" i="3"/>
  <c r="F83" i="3" s="1"/>
  <c r="M112" i="3"/>
  <c r="E112" i="3"/>
  <c r="N88" i="3"/>
  <c r="O87" i="3"/>
  <c r="N73" i="3"/>
  <c r="O72" i="3"/>
  <c r="F69" i="3" s="1"/>
  <c r="M338" i="6" l="1"/>
  <c r="M354" i="6" s="1"/>
  <c r="M357" i="6" s="1"/>
  <c r="M339" i="6"/>
  <c r="N336" i="6" s="1"/>
  <c r="N380" i="6"/>
  <c r="M394" i="6"/>
  <c r="M398" i="6" s="1"/>
  <c r="M331" i="4"/>
  <c r="M337" i="4" s="1"/>
  <c r="M332" i="4"/>
  <c r="M381" i="4" s="1"/>
  <c r="M384" i="4" s="1"/>
  <c r="M330" i="4"/>
  <c r="M346" i="4" s="1"/>
  <c r="M349" i="4" s="1"/>
  <c r="N345" i="4" s="1"/>
  <c r="H87" i="3"/>
  <c r="H71" i="3"/>
  <c r="O132" i="3"/>
  <c r="O147" i="3"/>
  <c r="F112" i="3"/>
  <c r="N112" i="3"/>
  <c r="N74" i="3"/>
  <c r="O73" i="3"/>
  <c r="N89" i="3"/>
  <c r="O88" i="3"/>
  <c r="M387" i="6" l="1"/>
  <c r="M390" i="6" s="1"/>
  <c r="N353" i="6"/>
  <c r="M367" i="6"/>
  <c r="M371" i="6" s="1"/>
  <c r="M360" i="6" s="1"/>
  <c r="M363" i="6" s="1"/>
  <c r="N359" i="6" s="1"/>
  <c r="N380" i="4"/>
  <c r="M394" i="4"/>
  <c r="M398" i="4" s="1"/>
  <c r="M338" i="4"/>
  <c r="M354" i="4" s="1"/>
  <c r="M357" i="4" s="1"/>
  <c r="P147" i="3"/>
  <c r="L148" i="3" s="1"/>
  <c r="N148" i="3" s="1"/>
  <c r="P132" i="3"/>
  <c r="L133" i="3" s="1"/>
  <c r="N133" i="3" s="1"/>
  <c r="O112" i="3"/>
  <c r="G112" i="3"/>
  <c r="N90" i="3"/>
  <c r="O89" i="3"/>
  <c r="N75" i="3"/>
  <c r="O74" i="3"/>
  <c r="M365" i="6" l="1"/>
  <c r="N386" i="6"/>
  <c r="M392" i="6"/>
  <c r="M408" i="6" s="1"/>
  <c r="M175" i="6" s="1"/>
  <c r="M181" i="6" s="1"/>
  <c r="M406" i="6"/>
  <c r="M339" i="4"/>
  <c r="N336" i="4" s="1"/>
  <c r="M387" i="4"/>
  <c r="M390" i="4" s="1"/>
  <c r="M367" i="4"/>
  <c r="M371" i="4" s="1"/>
  <c r="M360" i="4" s="1"/>
  <c r="M363" i="4" s="1"/>
  <c r="N359" i="4" s="1"/>
  <c r="N353" i="4"/>
  <c r="O133" i="3"/>
  <c r="O148" i="3"/>
  <c r="H112" i="3"/>
  <c r="G121" i="3" s="1"/>
  <c r="P112" i="3"/>
  <c r="I112" i="3" s="1"/>
  <c r="E121" i="3" s="1"/>
  <c r="N76" i="3"/>
  <c r="O75" i="3"/>
  <c r="N91" i="3"/>
  <c r="O90" i="3"/>
  <c r="F84" i="3" s="1"/>
  <c r="M126" i="6" l="1"/>
  <c r="N58" i="6"/>
  <c r="M495" i="6"/>
  <c r="M96" i="6" s="1"/>
  <c r="M365" i="4"/>
  <c r="M406" i="4"/>
  <c r="N386" i="4"/>
  <c r="M392" i="4"/>
  <c r="P148" i="3"/>
  <c r="L149" i="3" s="1"/>
  <c r="P133" i="3"/>
  <c r="L134" i="3" s="1"/>
  <c r="N134" i="3" s="1"/>
  <c r="D113" i="3"/>
  <c r="D122" i="3" s="1"/>
  <c r="J112" i="3"/>
  <c r="F121" i="3" s="1"/>
  <c r="N92" i="3"/>
  <c r="O91" i="3"/>
  <c r="N77" i="3"/>
  <c r="O77" i="3" s="1"/>
  <c r="F71" i="3" s="1"/>
  <c r="O76" i="3"/>
  <c r="F70" i="3" s="1"/>
  <c r="M408" i="4" l="1"/>
  <c r="M175" i="4" s="1"/>
  <c r="M181" i="4" s="1"/>
  <c r="N319" i="6"/>
  <c r="N62" i="6"/>
  <c r="M126" i="4"/>
  <c r="N58" i="4"/>
  <c r="M495" i="4"/>
  <c r="M96" i="4" s="1"/>
  <c r="O134" i="3"/>
  <c r="E135" i="3"/>
  <c r="N149" i="3"/>
  <c r="E113" i="3"/>
  <c r="M113" i="3"/>
  <c r="N93" i="3"/>
  <c r="O92" i="3"/>
  <c r="N323" i="6" l="1"/>
  <c r="N326" i="6"/>
  <c r="N147" i="6" s="1"/>
  <c r="N319" i="4"/>
  <c r="N62" i="4"/>
  <c r="O149" i="3"/>
  <c r="P134" i="3"/>
  <c r="F135" i="3"/>
  <c r="N113" i="3"/>
  <c r="F113" i="3"/>
  <c r="N94" i="3"/>
  <c r="O93" i="3"/>
  <c r="N570" i="6" l="1"/>
  <c r="N332" i="6"/>
  <c r="N381" i="6" s="1"/>
  <c r="N384" i="6" s="1"/>
  <c r="N330" i="6"/>
  <c r="N346" i="6" s="1"/>
  <c r="N349" i="6" s="1"/>
  <c r="O345" i="6" s="1"/>
  <c r="N331" i="6"/>
  <c r="N337" i="6" s="1"/>
  <c r="N323" i="4"/>
  <c r="N326" i="4"/>
  <c r="N147" i="4" s="1"/>
  <c r="N584" i="4" s="1"/>
  <c r="L135" i="3"/>
  <c r="G135" i="3"/>
  <c r="P149" i="3"/>
  <c r="L150" i="3" s="1"/>
  <c r="N150" i="3" s="1"/>
  <c r="N142" i="3"/>
  <c r="O142" i="3" s="1"/>
  <c r="P142" i="3" s="1"/>
  <c r="G113" i="3"/>
  <c r="O113" i="3"/>
  <c r="N95" i="3"/>
  <c r="O94" i="3"/>
  <c r="F85" i="3" s="1"/>
  <c r="N338" i="6" l="1"/>
  <c r="N354" i="6" s="1"/>
  <c r="N357" i="6" s="1"/>
  <c r="N339" i="6"/>
  <c r="O336" i="6" s="1"/>
  <c r="N394" i="6"/>
  <c r="N398" i="6" s="1"/>
  <c r="O380" i="6"/>
  <c r="N331" i="4"/>
  <c r="N337" i="4" s="1"/>
  <c r="N330" i="4"/>
  <c r="N346" i="4" s="1"/>
  <c r="N349" i="4" s="1"/>
  <c r="O345" i="4" s="1"/>
  <c r="N332" i="4"/>
  <c r="N381" i="4" s="1"/>
  <c r="N384" i="4" s="1"/>
  <c r="O150" i="3"/>
  <c r="D136" i="3"/>
  <c r="N135" i="3"/>
  <c r="P113" i="3"/>
  <c r="I113" i="3" s="1"/>
  <c r="E122" i="3" s="1"/>
  <c r="H113" i="3"/>
  <c r="G122" i="3" s="1"/>
  <c r="N96" i="3"/>
  <c r="O95" i="3"/>
  <c r="N387" i="6" l="1"/>
  <c r="N390" i="6" s="1"/>
  <c r="N367" i="6"/>
  <c r="N371" i="6" s="1"/>
  <c r="N360" i="6" s="1"/>
  <c r="N363" i="6" s="1"/>
  <c r="O359" i="6" s="1"/>
  <c r="O353" i="6"/>
  <c r="O380" i="4"/>
  <c r="N394" i="4"/>
  <c r="N398" i="4" s="1"/>
  <c r="N338" i="4"/>
  <c r="N354" i="4" s="1"/>
  <c r="N357" i="4" s="1"/>
  <c r="O135" i="3"/>
  <c r="E136" i="3"/>
  <c r="P150" i="3"/>
  <c r="L151" i="3" s="1"/>
  <c r="D114" i="3"/>
  <c r="D123" i="3" s="1"/>
  <c r="J113" i="3"/>
  <c r="F122" i="3" s="1"/>
  <c r="N97" i="3"/>
  <c r="O96" i="3"/>
  <c r="N365" i="6" l="1"/>
  <c r="N406" i="6"/>
  <c r="O386" i="6"/>
  <c r="N392" i="6"/>
  <c r="N408" i="6" s="1"/>
  <c r="N175" i="6" s="1"/>
  <c r="N181" i="6" s="1"/>
  <c r="N367" i="4"/>
  <c r="N371" i="4" s="1"/>
  <c r="N360" i="4" s="1"/>
  <c r="N363" i="4" s="1"/>
  <c r="O359" i="4" s="1"/>
  <c r="O353" i="4"/>
  <c r="N339" i="4"/>
  <c r="O336" i="4" s="1"/>
  <c r="N387" i="4"/>
  <c r="N390" i="4" s="1"/>
  <c r="N406" i="4"/>
  <c r="N151" i="3"/>
  <c r="O151" i="3" s="1"/>
  <c r="P151" i="3" s="1"/>
  <c r="L152" i="3" s="1"/>
  <c r="P135" i="3"/>
  <c r="L136" i="3" s="1"/>
  <c r="N136" i="3" s="1"/>
  <c r="E114" i="3"/>
  <c r="M114" i="3"/>
  <c r="N98" i="3"/>
  <c r="O97" i="3"/>
  <c r="N126" i="6" l="1"/>
  <c r="O58" i="6"/>
  <c r="N495" i="6"/>
  <c r="N96" i="6" s="1"/>
  <c r="N365" i="4"/>
  <c r="O386" i="4"/>
  <c r="N392" i="4"/>
  <c r="N126" i="4"/>
  <c r="O58" i="4"/>
  <c r="N495" i="4"/>
  <c r="N96" i="4" s="1"/>
  <c r="N152" i="3"/>
  <c r="O152" i="3" s="1"/>
  <c r="P152" i="3" s="1"/>
  <c r="L153" i="3" s="1"/>
  <c r="O136" i="3"/>
  <c r="E137" i="3"/>
  <c r="F114" i="3"/>
  <c r="N114" i="3"/>
  <c r="N99" i="3"/>
  <c r="O98" i="3"/>
  <c r="F86" i="3" s="1"/>
  <c r="O319" i="6" l="1"/>
  <c r="O62" i="6"/>
  <c r="N408" i="4"/>
  <c r="N175" i="4" s="1"/>
  <c r="N181" i="4" s="1"/>
  <c r="O319" i="4"/>
  <c r="O62" i="4"/>
  <c r="P136" i="3"/>
  <c r="L137" i="3" s="1"/>
  <c r="N137" i="3" s="1"/>
  <c r="O137" i="3" s="1"/>
  <c r="P137" i="3" s="1"/>
  <c r="L138" i="3" s="1"/>
  <c r="N138" i="3" s="1"/>
  <c r="O138" i="3" s="1"/>
  <c r="P138" i="3" s="1"/>
  <c r="N153" i="3"/>
  <c r="O153" i="3" s="1"/>
  <c r="P153" i="3" s="1"/>
  <c r="L154" i="3" s="1"/>
  <c r="G114" i="3"/>
  <c r="O114" i="3"/>
  <c r="N100" i="3"/>
  <c r="O99" i="3"/>
  <c r="O323" i="6" l="1"/>
  <c r="O326" i="6"/>
  <c r="O147" i="6" s="1"/>
  <c r="O323" i="4"/>
  <c r="O326" i="4"/>
  <c r="O147" i="4" s="1"/>
  <c r="O584" i="4" s="1"/>
  <c r="N154" i="3"/>
  <c r="O154" i="3" s="1"/>
  <c r="P154" i="3" s="1"/>
  <c r="L155" i="3" s="1"/>
  <c r="F136" i="3"/>
  <c r="L139" i="3"/>
  <c r="G136" i="3"/>
  <c r="H114" i="3"/>
  <c r="G123" i="3" s="1"/>
  <c r="P114" i="3"/>
  <c r="I114" i="3" s="1"/>
  <c r="E123" i="3" s="1"/>
  <c r="N101" i="3"/>
  <c r="O100" i="3"/>
  <c r="O570" i="6" l="1"/>
  <c r="O331" i="6"/>
  <c r="O337" i="6" s="1"/>
  <c r="O332" i="6"/>
  <c r="O381" i="6" s="1"/>
  <c r="O384" i="6" s="1"/>
  <c r="O330" i="6"/>
  <c r="O346" i="6" s="1"/>
  <c r="O349" i="6" s="1"/>
  <c r="O330" i="4"/>
  <c r="O346" i="4" s="1"/>
  <c r="O349" i="4" s="1"/>
  <c r="O332" i="4"/>
  <c r="O381" i="4" s="1"/>
  <c r="O384" i="4" s="1"/>
  <c r="O331" i="4"/>
  <c r="O337" i="4" s="1"/>
  <c r="D137" i="3"/>
  <c r="D179" i="3" s="1"/>
  <c r="G186" i="3" s="1"/>
  <c r="N139" i="3"/>
  <c r="O139" i="3" s="1"/>
  <c r="N155" i="3"/>
  <c r="O155" i="3" s="1"/>
  <c r="P155" i="3" s="1"/>
  <c r="L156" i="3" s="1"/>
  <c r="N156" i="3" s="1"/>
  <c r="O156" i="3" s="1"/>
  <c r="P156" i="3" s="1"/>
  <c r="L157" i="3" s="1"/>
  <c r="N157" i="3" s="1"/>
  <c r="D115" i="3"/>
  <c r="D124" i="3" s="1"/>
  <c r="D180" i="3" s="1"/>
  <c r="H186" i="3" s="1"/>
  <c r="J114" i="3"/>
  <c r="F123" i="3" s="1"/>
  <c r="N102" i="3"/>
  <c r="O102" i="3" s="1"/>
  <c r="O101" i="3"/>
  <c r="O394" i="6" l="1"/>
  <c r="O398" i="6" s="1"/>
  <c r="O338" i="6"/>
  <c r="O354" i="6" s="1"/>
  <c r="O357" i="6" s="1"/>
  <c r="O339" i="6"/>
  <c r="O338" i="4"/>
  <c r="O354" i="4" s="1"/>
  <c r="O357" i="4" s="1"/>
  <c r="O339" i="4"/>
  <c r="O394" i="4"/>
  <c r="O398" i="4" s="1"/>
  <c r="O157" i="3"/>
  <c r="E151" i="3"/>
  <c r="E177" i="3" s="1"/>
  <c r="E187" i="3" s="1"/>
  <c r="P139" i="3"/>
  <c r="L140" i="3" s="1"/>
  <c r="N140" i="3" s="1"/>
  <c r="O140" i="3" s="1"/>
  <c r="P140" i="3" s="1"/>
  <c r="L141" i="3" s="1"/>
  <c r="N141" i="3" s="1"/>
  <c r="O141" i="3" s="1"/>
  <c r="P141" i="3" s="1"/>
  <c r="E115" i="3"/>
  <c r="M115" i="3"/>
  <c r="F87" i="3"/>
  <c r="O367" i="6" l="1"/>
  <c r="O371" i="6" s="1"/>
  <c r="O360" i="6" s="1"/>
  <c r="O363" i="6" s="1"/>
  <c r="O365" i="6" s="1"/>
  <c r="O387" i="6"/>
  <c r="O390" i="6" s="1"/>
  <c r="O392" i="6" s="1"/>
  <c r="O406" i="6"/>
  <c r="O387" i="4"/>
  <c r="O390" i="4" s="1"/>
  <c r="O392" i="4" s="1"/>
  <c r="O367" i="4"/>
  <c r="O371" i="4" s="1"/>
  <c r="O360" i="4" s="1"/>
  <c r="O363" i="4" s="1"/>
  <c r="O365" i="4" s="1"/>
  <c r="F137" i="3"/>
  <c r="P157" i="3"/>
  <c r="L158" i="3" s="1"/>
  <c r="N158" i="3" s="1"/>
  <c r="F151" i="3"/>
  <c r="F115" i="3"/>
  <c r="N115" i="3"/>
  <c r="O126" i="6" l="1"/>
  <c r="O495" i="6"/>
  <c r="O96" i="6" s="1"/>
  <c r="O408" i="6"/>
  <c r="O175" i="6" s="1"/>
  <c r="O181" i="6" s="1"/>
  <c r="O406" i="4"/>
  <c r="O408" i="4"/>
  <c r="O175" i="4" s="1"/>
  <c r="O181" i="4" s="1"/>
  <c r="G151" i="3"/>
  <c r="F177" i="3"/>
  <c r="E188" i="3" s="1"/>
  <c r="E189" i="3" s="1"/>
  <c r="O158" i="3"/>
  <c r="G115" i="3"/>
  <c r="O115" i="3"/>
  <c r="O126" i="4" l="1"/>
  <c r="O495" i="4"/>
  <c r="O96" i="4" s="1"/>
  <c r="D152" i="3"/>
  <c r="D178" i="3" s="1"/>
  <c r="F186" i="3" s="1"/>
  <c r="G177" i="3"/>
  <c r="P158" i="3"/>
  <c r="L159" i="3" s="1"/>
  <c r="H115" i="3"/>
  <c r="G124" i="3" s="1"/>
  <c r="G180" i="3" s="1"/>
  <c r="P115" i="3"/>
  <c r="I115" i="3" s="1"/>
  <c r="E124" i="3" s="1"/>
  <c r="E180" i="3" s="1"/>
  <c r="H187" i="3" s="1"/>
  <c r="N159" i="3" l="1"/>
  <c r="D116" i="3"/>
  <c r="D125" i="3" s="1"/>
  <c r="J115" i="3"/>
  <c r="F124" i="3" s="1"/>
  <c r="F180" i="3" s="1"/>
  <c r="H188" i="3" s="1"/>
  <c r="H189" i="3" s="1"/>
  <c r="O159" i="3" l="1"/>
  <c r="E116" i="3"/>
  <c r="M116" i="3"/>
  <c r="P159" i="3" l="1"/>
  <c r="L160" i="3" s="1"/>
  <c r="F116" i="3"/>
  <c r="N116" i="3"/>
  <c r="N160" i="3" l="1"/>
  <c r="G116" i="3"/>
  <c r="O116" i="3"/>
  <c r="O160" i="3" l="1"/>
  <c r="H116" i="3"/>
  <c r="G125" i="3" s="1"/>
  <c r="P116" i="3"/>
  <c r="I116" i="3" s="1"/>
  <c r="E125" i="3" s="1"/>
  <c r="I187" i="3" s="1"/>
  <c r="P160" i="3" l="1"/>
  <c r="L161" i="3" s="1"/>
  <c r="N161" i="3" s="1"/>
  <c r="D117" i="3"/>
  <c r="J116" i="3"/>
  <c r="F125" i="3" s="1"/>
  <c r="I188" i="3" s="1"/>
  <c r="I189" i="3" s="1"/>
  <c r="O161" i="3" l="1"/>
  <c r="E117" i="3"/>
  <c r="M117" i="3"/>
  <c r="P161" i="3" l="1"/>
  <c r="L162" i="3" s="1"/>
  <c r="F117" i="3"/>
  <c r="N117" i="3"/>
  <c r="N162" i="3" l="1"/>
  <c r="G117" i="3"/>
  <c r="O117" i="3"/>
  <c r="O162" i="3" l="1"/>
  <c r="H117" i="3"/>
  <c r="J117" i="3" s="1"/>
  <c r="P117" i="3"/>
  <c r="I117" i="3" s="1"/>
  <c r="P162" i="3" l="1"/>
  <c r="L163" i="3" s="1"/>
  <c r="N163" i="3" l="1"/>
  <c r="O163" i="3" s="1"/>
  <c r="P163" i="3" s="1"/>
  <c r="L164" i="3" s="1"/>
  <c r="N164" i="3" l="1"/>
  <c r="O164" i="3" s="1"/>
  <c r="P164" i="3" s="1"/>
  <c r="L165" i="3" s="1"/>
  <c r="N165" i="3" s="1"/>
  <c r="O165" i="3" s="1"/>
  <c r="P165" i="3" s="1"/>
  <c r="L166" i="3" s="1"/>
  <c r="N166" i="3" s="1"/>
  <c r="O166" i="3" s="1"/>
  <c r="P166" i="3" s="1"/>
  <c r="L167" i="3" s="1"/>
  <c r="N167" i="3" s="1"/>
  <c r="O167" i="3" s="1"/>
  <c r="P167" i="3" s="1"/>
  <c r="L168" i="3" s="1"/>
  <c r="N168" i="3" l="1"/>
  <c r="O168" i="3" s="1"/>
  <c r="P168" i="3" s="1"/>
  <c r="L169" i="3" s="1"/>
  <c r="N169" i="3" s="1"/>
  <c r="O169" i="3" l="1"/>
  <c r="E152" i="3"/>
  <c r="E178" i="3" s="1"/>
  <c r="F187" i="3" s="1"/>
  <c r="P169" i="3" l="1"/>
  <c r="L170" i="3" s="1"/>
  <c r="N170" i="3" s="1"/>
  <c r="F152" i="3"/>
  <c r="G152" i="3" l="1"/>
  <c r="G178" i="3" s="1"/>
  <c r="F178" i="3"/>
  <c r="F188" i="3" s="1"/>
  <c r="F189" i="3" s="1"/>
  <c r="O170" i="3"/>
  <c r="P170" i="3" l="1"/>
  <c r="L171" i="3" s="1"/>
  <c r="N171" i="3" s="1"/>
  <c r="O171" i="3" l="1"/>
  <c r="P171" i="3" l="1"/>
  <c r="L172" i="3" s="1"/>
  <c r="N172" i="3" s="1"/>
  <c r="O172" i="3" l="1"/>
  <c r="P172" i="3" l="1"/>
  <c r="L173" i="3" s="1"/>
  <c r="N173" i="3" s="1"/>
  <c r="O173" i="3" l="1"/>
  <c r="E153" i="3"/>
  <c r="E179" i="3" s="1"/>
  <c r="G187" i="3" s="1"/>
  <c r="P173" i="3" l="1"/>
  <c r="F153" i="3"/>
  <c r="G153" i="3" l="1"/>
  <c r="G179" i="3" s="1"/>
  <c r="F179" i="3"/>
  <c r="G188" i="3" s="1"/>
  <c r="G189" i="3" s="1"/>
  <c r="K88" i="4"/>
  <c r="L88" i="4"/>
  <c r="M88" i="4"/>
  <c r="N88" i="4"/>
  <c r="O88" i="4"/>
  <c r="K95" i="4"/>
  <c r="L95" i="4"/>
  <c r="M95" i="4"/>
  <c r="N95" i="4"/>
  <c r="O95" i="4"/>
  <c r="K98" i="4"/>
  <c r="L98" i="4"/>
  <c r="M98" i="4"/>
  <c r="N98" i="4"/>
  <c r="O98" i="4"/>
  <c r="K100" i="4"/>
  <c r="L100" i="4"/>
  <c r="M100" i="4"/>
  <c r="N100" i="4"/>
  <c r="O100" i="4"/>
  <c r="K102" i="4"/>
  <c r="L102" i="4"/>
  <c r="M102" i="4"/>
  <c r="N102" i="4"/>
  <c r="O102" i="4"/>
  <c r="K104" i="4"/>
  <c r="L104" i="4"/>
  <c r="M104" i="4"/>
  <c r="N104" i="4"/>
  <c r="O104" i="4"/>
  <c r="K105" i="4"/>
  <c r="L105" i="4"/>
  <c r="M105" i="4"/>
  <c r="N105" i="4"/>
  <c r="O105" i="4"/>
  <c r="K106" i="4"/>
  <c r="L106" i="4"/>
  <c r="M106" i="4"/>
  <c r="N106" i="4"/>
  <c r="O106" i="4"/>
  <c r="K108" i="4"/>
  <c r="L108" i="4"/>
  <c r="M108" i="4"/>
  <c r="N108" i="4"/>
  <c r="O108" i="4"/>
  <c r="K114" i="4"/>
  <c r="L114" i="4"/>
  <c r="M114" i="4"/>
  <c r="N114" i="4"/>
  <c r="O114" i="4"/>
  <c r="K115" i="4"/>
  <c r="L115" i="4"/>
  <c r="M115" i="4"/>
  <c r="N115" i="4"/>
  <c r="O115" i="4"/>
  <c r="K123" i="4"/>
  <c r="L123" i="4"/>
  <c r="M123" i="4"/>
  <c r="N123" i="4"/>
  <c r="O123" i="4"/>
  <c r="K128" i="4"/>
  <c r="L128" i="4"/>
  <c r="M128" i="4"/>
  <c r="N128" i="4"/>
  <c r="O128" i="4"/>
  <c r="K129" i="4"/>
  <c r="L129" i="4"/>
  <c r="M129" i="4"/>
  <c r="N129" i="4"/>
  <c r="O129" i="4"/>
  <c r="K134" i="4"/>
  <c r="L134" i="4"/>
  <c r="M134" i="4"/>
  <c r="N134" i="4"/>
  <c r="O134" i="4"/>
  <c r="K141" i="4"/>
  <c r="L141" i="4"/>
  <c r="M141" i="4"/>
  <c r="N141" i="4"/>
  <c r="O141" i="4"/>
  <c r="K142" i="4"/>
  <c r="L142" i="4"/>
  <c r="M142" i="4"/>
  <c r="N142" i="4"/>
  <c r="O142" i="4"/>
  <c r="K143" i="4"/>
  <c r="L143" i="4"/>
  <c r="M143" i="4"/>
  <c r="N143" i="4"/>
  <c r="O143" i="4"/>
  <c r="K148" i="4"/>
  <c r="L148" i="4"/>
  <c r="M148" i="4"/>
  <c r="N148" i="4"/>
  <c r="O148" i="4"/>
  <c r="K151" i="4"/>
  <c r="L151" i="4"/>
  <c r="M151" i="4"/>
  <c r="N151" i="4"/>
  <c r="O151" i="4"/>
  <c r="K157" i="4"/>
  <c r="L157" i="4"/>
  <c r="M157" i="4"/>
  <c r="N157" i="4"/>
  <c r="O157" i="4"/>
  <c r="K159" i="4"/>
  <c r="L159" i="4"/>
  <c r="M159" i="4"/>
  <c r="N159" i="4"/>
  <c r="O159" i="4"/>
  <c r="K160" i="4"/>
  <c r="L160" i="4"/>
  <c r="M160" i="4"/>
  <c r="N160" i="4"/>
  <c r="O160" i="4"/>
  <c r="K161" i="4"/>
  <c r="L161" i="4"/>
  <c r="M161" i="4"/>
  <c r="N161" i="4"/>
  <c r="O161" i="4"/>
  <c r="K163" i="4"/>
  <c r="L163" i="4"/>
  <c r="M163" i="4"/>
  <c r="N163" i="4"/>
  <c r="O163" i="4"/>
  <c r="L164" i="4"/>
  <c r="M164" i="4"/>
  <c r="N164" i="4"/>
  <c r="O164" i="4"/>
  <c r="K166" i="4"/>
  <c r="L166" i="4"/>
  <c r="M166" i="4"/>
  <c r="N166" i="4"/>
  <c r="O166" i="4"/>
  <c r="K186" i="4"/>
  <c r="L186" i="4"/>
  <c r="M186" i="4"/>
  <c r="N186" i="4"/>
  <c r="O186" i="4"/>
  <c r="K189" i="4"/>
  <c r="L189" i="4"/>
  <c r="M189" i="4"/>
  <c r="N189" i="4"/>
  <c r="O189" i="4"/>
  <c r="K191" i="4"/>
  <c r="L191" i="4"/>
  <c r="M191" i="4"/>
  <c r="N191" i="4"/>
  <c r="O191" i="4"/>
  <c r="K196" i="4"/>
  <c r="L196" i="4"/>
  <c r="M196" i="4"/>
  <c r="N196" i="4"/>
  <c r="O196" i="4"/>
  <c r="K197" i="4"/>
  <c r="L197" i="4"/>
  <c r="M197" i="4"/>
  <c r="N197" i="4"/>
  <c r="O197" i="4"/>
  <c r="K199" i="4"/>
  <c r="L199" i="4"/>
  <c r="M199" i="4"/>
  <c r="N199" i="4"/>
  <c r="O199" i="4"/>
  <c r="K209" i="4"/>
  <c r="L209" i="4"/>
  <c r="M209" i="4"/>
  <c r="N209" i="4"/>
  <c r="O209" i="4"/>
  <c r="K217" i="4"/>
  <c r="L217" i="4"/>
  <c r="M217" i="4"/>
  <c r="N217" i="4"/>
  <c r="O217" i="4"/>
  <c r="K218" i="4"/>
  <c r="L218" i="4"/>
  <c r="M218" i="4"/>
  <c r="N218" i="4"/>
  <c r="O218" i="4"/>
  <c r="K219" i="4"/>
  <c r="L219" i="4"/>
  <c r="M219" i="4"/>
  <c r="N219" i="4"/>
  <c r="O219" i="4"/>
  <c r="K221" i="4"/>
  <c r="L221" i="4"/>
  <c r="M221" i="4"/>
  <c r="N221" i="4"/>
  <c r="O221" i="4"/>
  <c r="K417" i="4"/>
  <c r="L417" i="4"/>
  <c r="M417" i="4"/>
  <c r="N417" i="4"/>
  <c r="O417" i="4"/>
  <c r="K419" i="4"/>
  <c r="L419" i="4"/>
  <c r="M419" i="4"/>
  <c r="N419" i="4"/>
  <c r="O419" i="4"/>
  <c r="K420" i="4"/>
  <c r="L420" i="4"/>
  <c r="M420" i="4"/>
  <c r="N420" i="4"/>
  <c r="O420" i="4"/>
  <c r="K424" i="4"/>
  <c r="L424" i="4"/>
  <c r="M424" i="4"/>
  <c r="N424" i="4"/>
  <c r="O424" i="4"/>
  <c r="L427" i="4"/>
  <c r="M427" i="4"/>
  <c r="N427" i="4"/>
  <c r="O427" i="4"/>
  <c r="K429" i="4"/>
  <c r="L429" i="4"/>
  <c r="M429" i="4"/>
  <c r="N429" i="4"/>
  <c r="O429" i="4"/>
  <c r="K430" i="4"/>
  <c r="L430" i="4"/>
  <c r="M430" i="4"/>
  <c r="N430" i="4"/>
  <c r="O430" i="4"/>
  <c r="L432" i="4"/>
  <c r="M432" i="4"/>
  <c r="N432" i="4"/>
  <c r="O432" i="4"/>
  <c r="K433" i="4"/>
  <c r="L433" i="4"/>
  <c r="M433" i="4"/>
  <c r="N433" i="4"/>
  <c r="O433" i="4"/>
  <c r="K434" i="4"/>
  <c r="L434" i="4"/>
  <c r="M434" i="4"/>
  <c r="N434" i="4"/>
  <c r="O434" i="4"/>
  <c r="K438" i="4"/>
  <c r="L438" i="4"/>
  <c r="M438" i="4"/>
  <c r="N438" i="4"/>
  <c r="O438" i="4"/>
  <c r="K451" i="4"/>
  <c r="L451" i="4"/>
  <c r="M451" i="4"/>
  <c r="N451" i="4"/>
  <c r="O451" i="4"/>
  <c r="K512" i="4"/>
  <c r="L512" i="4"/>
  <c r="M512" i="4"/>
  <c r="N512" i="4"/>
  <c r="O512" i="4"/>
  <c r="K519" i="4"/>
  <c r="L519" i="4"/>
  <c r="M519" i="4"/>
  <c r="N519" i="4"/>
  <c r="O519" i="4"/>
  <c r="K548" i="4"/>
  <c r="L548" i="4"/>
  <c r="M548" i="4"/>
  <c r="N548" i="4"/>
  <c r="O548" i="4"/>
  <c r="K552" i="4"/>
  <c r="L552" i="4"/>
  <c r="M552" i="4"/>
  <c r="N552" i="4"/>
  <c r="O552" i="4"/>
  <c r="K554" i="4"/>
  <c r="L554" i="4"/>
  <c r="M554" i="4"/>
  <c r="N554" i="4"/>
  <c r="O554" i="4"/>
  <c r="K563" i="4"/>
  <c r="L563" i="4"/>
  <c r="M563" i="4"/>
  <c r="N563" i="4"/>
  <c r="O563" i="4"/>
  <c r="K564" i="4"/>
  <c r="L564" i="4"/>
  <c r="M564" i="4"/>
  <c r="N564" i="4"/>
  <c r="O564" i="4"/>
  <c r="K565" i="4"/>
  <c r="L565" i="4"/>
  <c r="M565" i="4"/>
  <c r="N565" i="4"/>
  <c r="O565" i="4"/>
  <c r="K567" i="4"/>
  <c r="L567" i="4"/>
  <c r="M567" i="4"/>
  <c r="N567" i="4"/>
  <c r="O567" i="4"/>
  <c r="K568" i="4"/>
  <c r="L568" i="4"/>
  <c r="M568" i="4"/>
  <c r="N568" i="4"/>
  <c r="O568" i="4"/>
  <c r="K570" i="4"/>
  <c r="L570" i="4"/>
  <c r="M570" i="4"/>
  <c r="N570" i="4"/>
  <c r="O570" i="4"/>
  <c r="K571" i="4"/>
  <c r="L571" i="4"/>
  <c r="M571" i="4"/>
  <c r="N571" i="4"/>
  <c r="O571" i="4"/>
  <c r="K573" i="4"/>
  <c r="L573" i="4"/>
  <c r="M573" i="4"/>
  <c r="N573" i="4"/>
  <c r="O573" i="4"/>
  <c r="K583" i="4"/>
  <c r="L583" i="4"/>
  <c r="M583" i="4"/>
  <c r="N583" i="4"/>
  <c r="O583" i="4"/>
  <c r="K586" i="4"/>
  <c r="L586" i="4"/>
  <c r="M586" i="4"/>
  <c r="N586" i="4"/>
  <c r="O586" i="4"/>
  <c r="L587" i="4"/>
  <c r="M587" i="4"/>
  <c r="N587" i="4"/>
  <c r="O587" i="4"/>
  <c r="J596" i="4"/>
  <c r="J597" i="4"/>
  <c r="J598" i="4"/>
  <c r="J599" i="4"/>
  <c r="J600" i="4"/>
  <c r="J601" i="4"/>
  <c r="J602" i="4"/>
  <c r="J603" i="4"/>
  <c r="J605" i="4"/>
  <c r="K88" i="6"/>
  <c r="L88" i="6"/>
  <c r="M88" i="6"/>
  <c r="N88" i="6"/>
  <c r="O88" i="6"/>
  <c r="K95" i="6"/>
  <c r="L95" i="6"/>
  <c r="M95" i="6"/>
  <c r="N95" i="6"/>
  <c r="O95" i="6"/>
  <c r="K98" i="6"/>
  <c r="L98" i="6"/>
  <c r="M98" i="6"/>
  <c r="N98" i="6"/>
  <c r="O98" i="6"/>
  <c r="K100" i="6"/>
  <c r="L100" i="6"/>
  <c r="M100" i="6"/>
  <c r="N100" i="6"/>
  <c r="O100" i="6"/>
  <c r="K102" i="6"/>
  <c r="L102" i="6"/>
  <c r="M102" i="6"/>
  <c r="N102" i="6"/>
  <c r="O102" i="6"/>
  <c r="K104" i="6"/>
  <c r="L104" i="6"/>
  <c r="M104" i="6"/>
  <c r="N104" i="6"/>
  <c r="O104" i="6"/>
  <c r="K105" i="6"/>
  <c r="L105" i="6"/>
  <c r="M105" i="6"/>
  <c r="N105" i="6"/>
  <c r="O105" i="6"/>
  <c r="K106" i="6"/>
  <c r="L106" i="6"/>
  <c r="M106" i="6"/>
  <c r="N106" i="6"/>
  <c r="O106" i="6"/>
  <c r="K108" i="6"/>
  <c r="L108" i="6"/>
  <c r="M108" i="6"/>
  <c r="N108" i="6"/>
  <c r="O108" i="6"/>
  <c r="K114" i="6"/>
  <c r="L114" i="6"/>
  <c r="M114" i="6"/>
  <c r="N114" i="6"/>
  <c r="O114" i="6"/>
  <c r="K115" i="6"/>
  <c r="L115" i="6"/>
  <c r="M115" i="6"/>
  <c r="N115" i="6"/>
  <c r="O115" i="6"/>
  <c r="K123" i="6"/>
  <c r="L123" i="6"/>
  <c r="M123" i="6"/>
  <c r="N123" i="6"/>
  <c r="O123" i="6"/>
  <c r="K128" i="6"/>
  <c r="L128" i="6"/>
  <c r="M128" i="6"/>
  <c r="N128" i="6"/>
  <c r="O128" i="6"/>
  <c r="K129" i="6"/>
  <c r="L129" i="6"/>
  <c r="M129" i="6"/>
  <c r="N129" i="6"/>
  <c r="O129" i="6"/>
  <c r="K134" i="6"/>
  <c r="L134" i="6"/>
  <c r="M134" i="6"/>
  <c r="N134" i="6"/>
  <c r="O134" i="6"/>
  <c r="K141" i="6"/>
  <c r="L141" i="6"/>
  <c r="M141" i="6"/>
  <c r="N141" i="6"/>
  <c r="O141" i="6"/>
  <c r="K142" i="6"/>
  <c r="L142" i="6"/>
  <c r="M142" i="6"/>
  <c r="N142" i="6"/>
  <c r="O142" i="6"/>
  <c r="K143" i="6"/>
  <c r="L143" i="6"/>
  <c r="M143" i="6"/>
  <c r="N143" i="6"/>
  <c r="O143" i="6"/>
  <c r="K148" i="6"/>
  <c r="L148" i="6"/>
  <c r="M148" i="6"/>
  <c r="N148" i="6"/>
  <c r="O148" i="6"/>
  <c r="K151" i="6"/>
  <c r="L151" i="6"/>
  <c r="M151" i="6"/>
  <c r="N151" i="6"/>
  <c r="O151" i="6"/>
  <c r="K157" i="6"/>
  <c r="L157" i="6"/>
  <c r="M157" i="6"/>
  <c r="N157" i="6"/>
  <c r="O157" i="6"/>
  <c r="K159" i="6"/>
  <c r="L159" i="6"/>
  <c r="M159" i="6"/>
  <c r="N159" i="6"/>
  <c r="O159" i="6"/>
  <c r="K160" i="6"/>
  <c r="L160" i="6"/>
  <c r="M160" i="6"/>
  <c r="N160" i="6"/>
  <c r="O160" i="6"/>
  <c r="K161" i="6"/>
  <c r="L161" i="6"/>
  <c r="M161" i="6"/>
  <c r="N161" i="6"/>
  <c r="O161" i="6"/>
  <c r="K163" i="6"/>
  <c r="L163" i="6"/>
  <c r="M163" i="6"/>
  <c r="N163" i="6"/>
  <c r="O163" i="6"/>
  <c r="L164" i="6"/>
  <c r="M164" i="6"/>
  <c r="N164" i="6"/>
  <c r="O164" i="6"/>
  <c r="K166" i="6"/>
  <c r="L166" i="6"/>
  <c r="M166" i="6"/>
  <c r="N166" i="6"/>
  <c r="O166" i="6"/>
  <c r="K186" i="6"/>
  <c r="L186" i="6"/>
  <c r="M186" i="6"/>
  <c r="N186" i="6"/>
  <c r="O186" i="6"/>
  <c r="K189" i="6"/>
  <c r="L189" i="6"/>
  <c r="M189" i="6"/>
  <c r="N189" i="6"/>
  <c r="O189" i="6"/>
  <c r="K191" i="6"/>
  <c r="L191" i="6"/>
  <c r="M191" i="6"/>
  <c r="N191" i="6"/>
  <c r="O191" i="6"/>
  <c r="K196" i="6"/>
  <c r="L196" i="6"/>
  <c r="M196" i="6"/>
  <c r="N196" i="6"/>
  <c r="O196" i="6"/>
  <c r="K197" i="6"/>
  <c r="L197" i="6"/>
  <c r="M197" i="6"/>
  <c r="N197" i="6"/>
  <c r="O197" i="6"/>
  <c r="K199" i="6"/>
  <c r="L199" i="6"/>
  <c r="M199" i="6"/>
  <c r="N199" i="6"/>
  <c r="O199" i="6"/>
  <c r="K209" i="6"/>
  <c r="L209" i="6"/>
  <c r="M209" i="6"/>
  <c r="N209" i="6"/>
  <c r="O209" i="6"/>
  <c r="K217" i="6"/>
  <c r="L217" i="6"/>
  <c r="M217" i="6"/>
  <c r="N217" i="6"/>
  <c r="O217" i="6"/>
  <c r="K218" i="6"/>
  <c r="L218" i="6"/>
  <c r="M218" i="6"/>
  <c r="N218" i="6"/>
  <c r="O218" i="6"/>
  <c r="K219" i="6"/>
  <c r="L219" i="6"/>
  <c r="M219" i="6"/>
  <c r="N219" i="6"/>
  <c r="O219" i="6"/>
  <c r="K221" i="6"/>
  <c r="L221" i="6"/>
  <c r="M221" i="6"/>
  <c r="N221" i="6"/>
  <c r="O221" i="6"/>
  <c r="K417" i="6"/>
  <c r="L417" i="6"/>
  <c r="M417" i="6"/>
  <c r="N417" i="6"/>
  <c r="O417" i="6"/>
  <c r="K419" i="6"/>
  <c r="L419" i="6"/>
  <c r="M419" i="6"/>
  <c r="N419" i="6"/>
  <c r="O419" i="6"/>
  <c r="K420" i="6"/>
  <c r="L420" i="6"/>
  <c r="M420" i="6"/>
  <c r="N420" i="6"/>
  <c r="O420" i="6"/>
  <c r="K424" i="6"/>
  <c r="L424" i="6"/>
  <c r="M424" i="6"/>
  <c r="N424" i="6"/>
  <c r="O424" i="6"/>
  <c r="L427" i="6"/>
  <c r="M427" i="6"/>
  <c r="N427" i="6"/>
  <c r="O427" i="6"/>
  <c r="K429" i="6"/>
  <c r="L429" i="6"/>
  <c r="M429" i="6"/>
  <c r="N429" i="6"/>
  <c r="O429" i="6"/>
  <c r="K430" i="6"/>
  <c r="L430" i="6"/>
  <c r="M430" i="6"/>
  <c r="N430" i="6"/>
  <c r="O430" i="6"/>
  <c r="L432" i="6"/>
  <c r="M432" i="6"/>
  <c r="N432" i="6"/>
  <c r="O432" i="6"/>
  <c r="K433" i="6"/>
  <c r="L433" i="6"/>
  <c r="M433" i="6"/>
  <c r="N433" i="6"/>
  <c r="O433" i="6"/>
  <c r="K434" i="6"/>
  <c r="L434" i="6"/>
  <c r="M434" i="6"/>
  <c r="N434" i="6"/>
  <c r="O434" i="6"/>
  <c r="K438" i="6"/>
  <c r="L438" i="6"/>
  <c r="M438" i="6"/>
  <c r="N438" i="6"/>
  <c r="O438" i="6"/>
  <c r="K451" i="6"/>
  <c r="L451" i="6"/>
  <c r="M451" i="6"/>
  <c r="N451" i="6"/>
  <c r="O451" i="6"/>
  <c r="K512" i="6"/>
  <c r="L512" i="6"/>
  <c r="M512" i="6"/>
  <c r="N512" i="6"/>
  <c r="O512" i="6"/>
  <c r="K519" i="6"/>
  <c r="L519" i="6"/>
  <c r="M519" i="6"/>
  <c r="N519" i="6"/>
  <c r="O519" i="6"/>
  <c r="K548" i="6"/>
  <c r="L548" i="6"/>
  <c r="M548" i="6"/>
  <c r="N548" i="6"/>
  <c r="O548" i="6"/>
  <c r="K552" i="6"/>
  <c r="L552" i="6"/>
  <c r="M552" i="6"/>
  <c r="N552" i="6"/>
  <c r="O552" i="6"/>
  <c r="K554" i="6"/>
  <c r="L554" i="6"/>
  <c r="M554" i="6"/>
  <c r="N554" i="6"/>
  <c r="O554" i="6"/>
  <c r="K563" i="6"/>
  <c r="L563" i="6"/>
  <c r="M563" i="6"/>
  <c r="N563" i="6"/>
  <c r="O563" i="6"/>
  <c r="K564" i="6"/>
  <c r="L564" i="6"/>
  <c r="M564" i="6"/>
  <c r="N564" i="6"/>
  <c r="O564" i="6"/>
  <c r="K565" i="6"/>
  <c r="L565" i="6"/>
  <c r="M565" i="6"/>
  <c r="N565" i="6"/>
  <c r="O565" i="6"/>
  <c r="K569" i="6"/>
  <c r="L569" i="6"/>
  <c r="M569" i="6"/>
  <c r="N569" i="6"/>
  <c r="O569" i="6"/>
  <c r="K572" i="6"/>
  <c r="L572" i="6"/>
  <c r="M572" i="6"/>
  <c r="N572" i="6"/>
  <c r="O572" i="6"/>
  <c r="L573" i="6"/>
  <c r="M573" i="6"/>
  <c r="N573" i="6"/>
  <c r="O573" i="6"/>
  <c r="J581" i="6"/>
  <c r="J582" i="6"/>
  <c r="J583" i="6"/>
  <c r="J584" i="6"/>
  <c r="J585" i="6"/>
  <c r="J586" i="6"/>
  <c r="J587" i="6"/>
  <c r="J588" i="6"/>
  <c r="J59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68" authorId="0" shapeId="0" xr:uid="{84D673FD-BA96-4201-9CD2-86483903C061}">
      <text>
        <r>
          <rPr>
            <b/>
            <sz val="9"/>
            <color indexed="81"/>
            <rFont val="Tahoma"/>
            <family val="2"/>
          </rPr>
          <t>Avg Bank balance in current account(Cash) of 2024&amp;2025 grown at revenue growth rate.</t>
        </r>
      </text>
    </comment>
    <comment ref="C69" authorId="0" shapeId="0" xr:uid="{7915A3D3-ABB2-4B57-95E0-97BABACB92F9}">
      <text>
        <r>
          <rPr>
            <b/>
            <sz val="9"/>
            <color indexed="81"/>
            <rFont val="Tahoma"/>
            <charset val="1"/>
          </rPr>
          <t>Average of the range mentioned for working capital facilities from bank</t>
        </r>
      </text>
    </comment>
    <comment ref="B72" authorId="0" shapeId="0" xr:uid="{A85FFE20-3B1E-46D9-A2B4-D2D43F68CB57}">
      <text>
        <r>
          <rPr>
            <b/>
            <sz val="9"/>
            <color indexed="81"/>
            <rFont val="Tahoma"/>
            <family val="2"/>
          </rPr>
          <t>These are estimated calculated form 2026 Q2 PPT</t>
        </r>
      </text>
    </comment>
    <comment ref="C74" authorId="0" shapeId="0" xr:uid="{FC82C858-4192-413A-A31B-440D680A6BE2}">
      <text>
        <r>
          <rPr>
            <b/>
            <sz val="9"/>
            <color indexed="81"/>
            <rFont val="Tahoma"/>
            <family val="2"/>
          </rPr>
          <t>The increase is attributed to acquisition as internally generated Intangible asset are expensed.</t>
        </r>
      </text>
    </comment>
    <comment ref="C76" authorId="0" shapeId="0" xr:uid="{03906C7F-2363-4881-A768-8035ECA559FB}">
      <text>
        <r>
          <rPr>
            <b/>
            <sz val="9"/>
            <color indexed="81"/>
            <rFont val="Tahoma"/>
            <family val="2"/>
          </rPr>
          <t>This amount will be used as loan to finance the acquisiton for Twizza</t>
        </r>
      </text>
    </comment>
    <comment ref="C446" authorId="0" shapeId="0" xr:uid="{6CA7DB15-3D8A-4C0B-B04C-56680808557E}">
      <text>
        <r>
          <rPr>
            <b/>
            <sz val="9"/>
            <color indexed="81"/>
            <rFont val="Tahoma"/>
            <family val="2"/>
          </rPr>
          <t>The interest is kept the same, as the assumption is that the amount of leases is same and new leases are bought at the amount of amortization in 2025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475" authorId="0" shapeId="0" xr:uid="{ABF939FE-D5FD-43C4-8926-E1D92612BDE1}">
      <text>
        <r>
          <rPr>
            <b/>
            <sz val="9"/>
            <color indexed="81"/>
            <rFont val="Tahoma"/>
            <family val="2"/>
          </rPr>
          <t>According to annual report 2025, considered to have indefinite life. Refer to 5B note i.</t>
        </r>
      </text>
    </comment>
    <comment ref="C478" authorId="0" shapeId="0" xr:uid="{4528CA3E-B2FC-4208-8617-170D5D9BE010}">
      <text>
        <r>
          <rPr>
            <b/>
            <sz val="9"/>
            <color indexed="81"/>
            <rFont val="Tahoma"/>
            <family val="2"/>
          </rPr>
          <t>TWIZZA implied amount calculated from 2026 Q2 quarterly report.</t>
        </r>
      </text>
    </comment>
    <comment ref="C591" authorId="0" shapeId="0" xr:uid="{742BE65D-6792-45D7-9239-02F9BA98243F}">
      <text>
        <r>
          <rPr>
            <b/>
            <sz val="9"/>
            <color indexed="81"/>
            <rFont val="Tahoma"/>
            <family val="2"/>
          </rPr>
          <t>35% Africa's and 65% India's combined risk premium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66" authorId="0" shapeId="0" xr:uid="{5B6F93D6-3A9D-4A3D-A4F4-6A5295885321}">
      <text>
        <r>
          <rPr>
            <sz val="9"/>
            <color indexed="81"/>
            <rFont val="Tahoma"/>
            <family val="2"/>
          </rPr>
          <t>From Annual reports: Payable in 9 quarterly instalments of 
3.2MDHS each quarter</t>
        </r>
      </text>
    </comment>
    <comment ref="H68" authorId="0" shapeId="0" xr:uid="{8FA32B25-BAC3-4B93-9940-7D7647B766AB}">
      <text>
        <r>
          <rPr>
            <sz val="9"/>
            <color indexed="81"/>
            <rFont val="Tahoma"/>
            <family val="2"/>
          </rPr>
          <t>Conversion rate:
Moroccan Dhiram/ INR = 8.5985 at start of the year 2025</t>
        </r>
      </text>
    </comment>
    <comment ref="H82" authorId="0" shapeId="0" xr:uid="{5E833543-0439-4AB8-A91B-27E234128A65}">
      <text>
        <r>
          <rPr>
            <sz val="9"/>
            <color indexed="81"/>
            <rFont val="Tahoma"/>
            <family val="2"/>
          </rPr>
          <t>Conversion rate:
Moroccan Dhiram/ INR = 8.5985 at start of the year 2025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68" authorId="0" shapeId="0" xr:uid="{55DDF4D7-56F4-48AC-8744-F95482110FE3}">
      <text>
        <r>
          <rPr>
            <b/>
            <sz val="9"/>
            <color indexed="81"/>
            <rFont val="Tahoma"/>
            <family val="2"/>
          </rPr>
          <t>Avg Bank balance in current account(Cash) of 2024&amp;2025 grown at revenue growth rate.</t>
        </r>
      </text>
    </comment>
    <comment ref="C69" authorId="0" shapeId="0" xr:uid="{FD93325E-9E37-4AA4-A582-4E08DEB5D212}">
      <text>
        <r>
          <rPr>
            <b/>
            <sz val="9"/>
            <color indexed="81"/>
            <rFont val="Tahoma"/>
            <charset val="1"/>
          </rPr>
          <t>Average of the range mentioned for working capital facilities from bank</t>
        </r>
      </text>
    </comment>
    <comment ref="B72" authorId="0" shapeId="0" xr:uid="{696F530F-6AE3-4753-89DC-DB81615F619F}">
      <text>
        <r>
          <rPr>
            <b/>
            <sz val="9"/>
            <color indexed="81"/>
            <rFont val="Tahoma"/>
            <family val="2"/>
          </rPr>
          <t>These are estimated calculated form 2026 Q2 PPT</t>
        </r>
      </text>
    </comment>
    <comment ref="C74" authorId="0" shapeId="0" xr:uid="{6E509832-903E-4C93-81B8-5C070BF44430}">
      <text>
        <r>
          <rPr>
            <b/>
            <sz val="9"/>
            <color indexed="81"/>
            <rFont val="Tahoma"/>
            <family val="2"/>
          </rPr>
          <t>The increase is attributed to acquisition as internally generated Intangible asset are expensed.</t>
        </r>
      </text>
    </comment>
    <comment ref="C76" authorId="0" shapeId="0" xr:uid="{845D9BEB-1233-4A4D-8CE3-EFC196322AC0}">
      <text>
        <r>
          <rPr>
            <b/>
            <sz val="9"/>
            <color indexed="81"/>
            <rFont val="Tahoma"/>
            <family val="2"/>
          </rPr>
          <t>This amount will be used as loan to finance the acquisiton for Twizza</t>
        </r>
      </text>
    </comment>
    <comment ref="C446" authorId="0" shapeId="0" xr:uid="{ED9DF052-BD9E-45D7-916F-E7C3B0E38FF2}">
      <text>
        <r>
          <rPr>
            <b/>
            <sz val="9"/>
            <color indexed="81"/>
            <rFont val="Tahoma"/>
            <family val="2"/>
          </rPr>
          <t>The interest is kept the same, as the assumption is that the amount of leases is same and new leases are bought at the amount of amortization in 2025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475" authorId="0" shapeId="0" xr:uid="{0FFA44B1-1D84-48F8-9381-DB31CD4D11BC}">
      <text>
        <r>
          <rPr>
            <b/>
            <sz val="9"/>
            <color indexed="81"/>
            <rFont val="Tahoma"/>
            <family val="2"/>
          </rPr>
          <t>According to annual report 2025, considered to have indefinite life. Refer to 5B note i.</t>
        </r>
      </text>
    </comment>
    <comment ref="C478" authorId="0" shapeId="0" xr:uid="{461FD251-5EFC-469B-AFAB-3B909ACCD152}">
      <text>
        <r>
          <rPr>
            <b/>
            <sz val="9"/>
            <color indexed="81"/>
            <rFont val="Tahoma"/>
            <family val="2"/>
          </rPr>
          <t>TWIZZA implied amount calculated from 2026 Q2 quarterly report.</t>
        </r>
      </text>
    </comment>
  </commentList>
</comments>
</file>

<file path=xl/sharedStrings.xml><?xml version="1.0" encoding="utf-8"?>
<sst xmlns="http://schemas.openxmlformats.org/spreadsheetml/2006/main" count="1081" uniqueCount="417">
  <si>
    <t>VARUN BEVERAGES</t>
  </si>
  <si>
    <t>Assumptions</t>
  </si>
  <si>
    <t>First year of forecast</t>
  </si>
  <si>
    <t>Scenarios</t>
  </si>
  <si>
    <t>Base Case</t>
  </si>
  <si>
    <t>Best Case</t>
  </si>
  <si>
    <t>Worst Case</t>
  </si>
  <si>
    <t>International</t>
  </si>
  <si>
    <t>Income Statement</t>
  </si>
  <si>
    <t>1.  Income</t>
  </si>
  <si>
    <t>Net Revenues</t>
  </si>
  <si>
    <t>2.  Expenses</t>
  </si>
  <si>
    <t>Total Expenses</t>
  </si>
  <si>
    <t>EBITDA</t>
  </si>
  <si>
    <t xml:space="preserve">3.  Profit before share of loss of associate and joint venture </t>
  </si>
  <si>
    <t>4.  Share of loss of associate and joint venture</t>
  </si>
  <si>
    <t>5.  Profit before tax</t>
  </si>
  <si>
    <t>6.  Tax expense</t>
  </si>
  <si>
    <t>7.  Net Income</t>
  </si>
  <si>
    <t>8. Non-controlling interest</t>
  </si>
  <si>
    <t>9.  Net income attributable to equity shareholders</t>
  </si>
  <si>
    <t>Weighted-average share count (basic)</t>
  </si>
  <si>
    <t>(000s)</t>
  </si>
  <si>
    <t>Weighted-average share count (diluted)</t>
  </si>
  <si>
    <t>EPS</t>
  </si>
  <si>
    <t>Basic</t>
  </si>
  <si>
    <t xml:space="preserve">Diluted </t>
  </si>
  <si>
    <t>INR</t>
  </si>
  <si>
    <t>Income Statement (in millions of INR)</t>
  </si>
  <si>
    <t>Cash Flow Statement</t>
  </si>
  <si>
    <t>Cash Flow Statement (in millions of INR)</t>
  </si>
  <si>
    <t>A.  Cash Flows from Operating activities</t>
  </si>
  <si>
    <t>Profit before tax and share of loss in associates and joint ventures</t>
  </si>
  <si>
    <t>Adjustment to reconcile profit before tax to net cash flows:</t>
  </si>
  <si>
    <t>Depreciation and impairment on property, plant and equipment</t>
  </si>
  <si>
    <t>Amortisation of intangible assets and right of use assets</t>
  </si>
  <si>
    <t>Interest expense at amortised cost</t>
  </si>
  <si>
    <t>Interest income at amortised cost</t>
  </si>
  <si>
    <t>Total Provisions &amp; Non-Cash Write-offs</t>
  </si>
  <si>
    <t>Gains / Losses on Asset Disposals &amp; Investments</t>
  </si>
  <si>
    <t>Other Non-Operating Accounting Adjustments</t>
  </si>
  <si>
    <t>Operating profit before working capital changes</t>
  </si>
  <si>
    <t>Working capital adjustments</t>
  </si>
  <si>
    <t>Inventories</t>
  </si>
  <si>
    <t>Trade Receivables</t>
  </si>
  <si>
    <t>Inc. in Financial &amp; Other Assets</t>
  </si>
  <si>
    <t>Inc. in Financial &amp; Other Liabilities &amp; Provisions</t>
  </si>
  <si>
    <t>Total Cash from Operations</t>
  </si>
  <si>
    <t>Income Tax paid</t>
  </si>
  <si>
    <t>Net cash flows from Operating activities (A)</t>
  </si>
  <si>
    <t>B.  Cash Flows from Investing activities</t>
  </si>
  <si>
    <t>Net CapEx</t>
  </si>
  <si>
    <t>Other Investing Activities, Net.</t>
  </si>
  <si>
    <t>Interest received</t>
  </si>
  <si>
    <t>Net Cash used in Investing Activities (B)</t>
  </si>
  <si>
    <t>C.  Cash Flows from Financing activities</t>
  </si>
  <si>
    <t>Net Change in Long-Term Debt</t>
  </si>
  <si>
    <t>Interest Paid</t>
  </si>
  <si>
    <t>Dividends Paid</t>
  </si>
  <si>
    <t>Net cash flows from Financing Activities (C)</t>
  </si>
  <si>
    <t>Repayment of lease liabilities</t>
  </si>
  <si>
    <t>Repayments of short-term borrowings (Nets)</t>
  </si>
  <si>
    <t>Net change in cash and cash equivalents (D=A+B+C)</t>
  </si>
  <si>
    <t>Unrealized FX on Cash</t>
  </si>
  <si>
    <t>Cash and cash equivalents at the beginning of year (E)</t>
  </si>
  <si>
    <t>Cash and cash equivalents at the end of year (G=D+E+F)</t>
  </si>
  <si>
    <t>Net Issuance / (Buyback) of Equity</t>
  </si>
  <si>
    <t>Balance Sheet</t>
  </si>
  <si>
    <t>Balance Sheet (in millions of INR)</t>
  </si>
  <si>
    <t>Non-current assets</t>
  </si>
  <si>
    <t>Net Fixed Assets (PPE &amp; CWIP)</t>
  </si>
  <si>
    <t>Right of use assets</t>
  </si>
  <si>
    <t>Invesments</t>
  </si>
  <si>
    <t>Other Non-current Assets</t>
  </si>
  <si>
    <t>Current Assets</t>
  </si>
  <si>
    <t>Cash and cash equivalents</t>
  </si>
  <si>
    <t>Other current assets</t>
  </si>
  <si>
    <t>Total non-current assets</t>
  </si>
  <si>
    <t>Total current-assets</t>
  </si>
  <si>
    <t>Total assets</t>
  </si>
  <si>
    <t>Equity and liabilities</t>
  </si>
  <si>
    <t xml:space="preserve">Equity  </t>
  </si>
  <si>
    <t>Other Income</t>
  </si>
  <si>
    <t>Excise Duty</t>
  </si>
  <si>
    <t>Revenue from operations</t>
  </si>
  <si>
    <t>Cost of materials consumed</t>
  </si>
  <si>
    <t>Purchase of stock-in-trade</t>
  </si>
  <si>
    <t>Changes in inventories of FG, WIP and stock-in-trade</t>
  </si>
  <si>
    <t>Employee benefits expense</t>
  </si>
  <si>
    <t>Finance costs</t>
  </si>
  <si>
    <t>Other expenses</t>
  </si>
  <si>
    <t>Equity share capital</t>
  </si>
  <si>
    <t>Other equity</t>
  </si>
  <si>
    <t>Equity attributable to owners of the Parent Company</t>
  </si>
  <si>
    <t>Non-controlling interest</t>
  </si>
  <si>
    <t>Total equity</t>
  </si>
  <si>
    <t>Liabilities</t>
  </si>
  <si>
    <t>Non-current liabilities</t>
  </si>
  <si>
    <t>Borrowings</t>
  </si>
  <si>
    <t>Lease liabilities</t>
  </si>
  <si>
    <t>Other non-current liabilities</t>
  </si>
  <si>
    <t>Total non-current liabilities</t>
  </si>
  <si>
    <t>Current liabilities</t>
  </si>
  <si>
    <t>Trade Payables</t>
  </si>
  <si>
    <t>Other Current Liabilities</t>
  </si>
  <si>
    <t>Total current liabilities</t>
  </si>
  <si>
    <t>Total liabilities</t>
  </si>
  <si>
    <t>Total equity and liabilities</t>
  </si>
  <si>
    <t>Assets classified as held for sale</t>
  </si>
  <si>
    <t>Revenue Schedule</t>
  </si>
  <si>
    <t>Revenue (in Millions of INR)</t>
  </si>
  <si>
    <t>India Volume Growth %</t>
  </si>
  <si>
    <t>Volume (mn unit cases)</t>
  </si>
  <si>
    <t xml:space="preserve">India </t>
  </si>
  <si>
    <t>Total Volume</t>
  </si>
  <si>
    <t>International Volume Growth %</t>
  </si>
  <si>
    <t>Volume growth rate</t>
  </si>
  <si>
    <t>(%)</t>
  </si>
  <si>
    <t>India Revenue</t>
  </si>
  <si>
    <t>International Revenue</t>
  </si>
  <si>
    <t>Price ( in millions of INR)</t>
  </si>
  <si>
    <t>Standalone Revenue (BS)</t>
  </si>
  <si>
    <t>India realization per case Growth %</t>
  </si>
  <si>
    <t>International realization per case Growth %</t>
  </si>
  <si>
    <t>Realization per case growth %</t>
  </si>
  <si>
    <t>Volume growth %</t>
  </si>
  <si>
    <t xml:space="preserve">International Revenue </t>
  </si>
  <si>
    <t>India's realization per case</t>
  </si>
  <si>
    <t>International realization per case</t>
  </si>
  <si>
    <t>Net Revenue</t>
  </si>
  <si>
    <t>Excise Duty as % of International revenue</t>
  </si>
  <si>
    <t>5yr avg of Excise Duty %</t>
  </si>
  <si>
    <t>Excise Duty %</t>
  </si>
  <si>
    <t>Cost Schedule</t>
  </si>
  <si>
    <t>Expenses (in Millions of INR)</t>
  </si>
  <si>
    <t>Cost of materials consumed as % of Net Revenues</t>
  </si>
  <si>
    <t xml:space="preserve">Avg. 5yr </t>
  </si>
  <si>
    <t>Margin for Cost of materials consumed</t>
  </si>
  <si>
    <t>Other Expenses</t>
  </si>
  <si>
    <t>as % of Net Revenues</t>
  </si>
  <si>
    <t>Avg. 5yr</t>
  </si>
  <si>
    <t>Forecast: Cost of materials consumed - to IS</t>
  </si>
  <si>
    <t>Forecast: Other expenses - to IS</t>
  </si>
  <si>
    <t>Forecast: Employee benefits expense -  to IS</t>
  </si>
  <si>
    <t>Working Capital Schedule</t>
  </si>
  <si>
    <t>From IS</t>
  </si>
  <si>
    <t>growth rate</t>
  </si>
  <si>
    <t>From BS</t>
  </si>
  <si>
    <t>Current tax liabilities</t>
  </si>
  <si>
    <t>Provisions</t>
  </si>
  <si>
    <t>Other current financial liabilities</t>
  </si>
  <si>
    <t>Provisions as % of Employee benefits expense</t>
  </si>
  <si>
    <t>Avg. 5yrs</t>
  </si>
  <si>
    <t>Forecast: Provisions - to BS</t>
  </si>
  <si>
    <t>Fixed Asset Schedule</t>
  </si>
  <si>
    <t>Particulars (in Millions of INR)</t>
  </si>
  <si>
    <t>Additions for the year</t>
  </si>
  <si>
    <t>Disposals &amp; transfers</t>
  </si>
  <si>
    <t>FX translation difference</t>
  </si>
  <si>
    <t>Accumulated Depreciation - beg</t>
  </si>
  <si>
    <t>Depreciation charge for the year</t>
  </si>
  <si>
    <t>Reversal on disposal of assets for the year</t>
  </si>
  <si>
    <t>Accumulated Depreciation - end</t>
  </si>
  <si>
    <t>Net carrying amount</t>
  </si>
  <si>
    <t>Addition pursuant to business combination</t>
  </si>
  <si>
    <t>Capex-Split Trend</t>
  </si>
  <si>
    <t>Land</t>
  </si>
  <si>
    <t>Building + Plant &amp; Equipment</t>
  </si>
  <si>
    <t>Distribution &amp; Others</t>
  </si>
  <si>
    <t>Total Capex Build (before asset class-allocation)</t>
  </si>
  <si>
    <t>India Expansion Capex</t>
  </si>
  <si>
    <t>Inflation Rate for Capex</t>
  </si>
  <si>
    <t>Total Maintenance Capex</t>
  </si>
  <si>
    <t>Expansion Towards South Africa and CSD line in Kenya (CWIP)</t>
  </si>
  <si>
    <t>Total Capex</t>
  </si>
  <si>
    <t>CWIP Transfer to PPE</t>
  </si>
  <si>
    <t>Land freehold</t>
  </si>
  <si>
    <t>Addition for the year</t>
  </si>
  <si>
    <t>Disposal for the year</t>
  </si>
  <si>
    <t>Foreign currency translation difference</t>
  </si>
  <si>
    <t>Gross carrying amount - beg</t>
  </si>
  <si>
    <t>Carrying amount - end</t>
  </si>
  <si>
    <t>Inorganic capex ( Acquisition of Twizza South Africa)</t>
  </si>
  <si>
    <t>Total</t>
  </si>
  <si>
    <t xml:space="preserve">Land Additions </t>
  </si>
  <si>
    <t>Capex -Split Trend</t>
  </si>
  <si>
    <t>Building, Plant &amp; Euipment</t>
  </si>
  <si>
    <t>Building, Plant &amp; Equipment</t>
  </si>
  <si>
    <t>Gross carrying amount - end</t>
  </si>
  <si>
    <t>Building, Plant &amp; Equipment Disposals</t>
  </si>
  <si>
    <t>5yr Avg</t>
  </si>
  <si>
    <t>Capital Work-In-Progress (CWIP)</t>
  </si>
  <si>
    <t>Opening CWIP</t>
  </si>
  <si>
    <t>(+) Additions to CWIP (CWIP-routed share of Core Capacity capex)</t>
  </si>
  <si>
    <t>Closing CWIP</t>
  </si>
  <si>
    <t>CWIP routing share to transfer to Building, Plant &amp; Equipment (50%)</t>
  </si>
  <si>
    <t>(-) Transfer to Building, Plant &amp; Equipment (prior-year WIP capitalized)</t>
  </si>
  <si>
    <t>Avg Building, Plant &amp; Equipment</t>
  </si>
  <si>
    <t>Dep</t>
  </si>
  <si>
    <t>Dep/Avg Building, Plant &amp; Equipment</t>
  </si>
  <si>
    <t>5yr Avg rate</t>
  </si>
  <si>
    <t>Depreciation for Buildng, Plant &amp; Equipment - forecast</t>
  </si>
  <si>
    <t>Avg Distribution &amp; Others</t>
  </si>
  <si>
    <t>Dep/Avg Distribution &amp; Others</t>
  </si>
  <si>
    <t>Distribution &amp; Others Disposals</t>
  </si>
  <si>
    <t>Depreciation for Distribution &amp; Others - forecast</t>
  </si>
  <si>
    <t>Depreciaiton forecast ( to CFS)</t>
  </si>
  <si>
    <t>Debt Schedule</t>
  </si>
  <si>
    <t>Indian rupee loan from banks</t>
  </si>
  <si>
    <t>Term loan - 1</t>
  </si>
  <si>
    <t>Year</t>
  </si>
  <si>
    <t>Opening Balance</t>
  </si>
  <si>
    <t>Interest Rate</t>
  </si>
  <si>
    <t>Interest Payment</t>
  </si>
  <si>
    <t>Principal Repayment</t>
  </si>
  <si>
    <t>Closing Balance</t>
  </si>
  <si>
    <t xml:space="preserve">Period </t>
  </si>
  <si>
    <t>Days</t>
  </si>
  <si>
    <t>Balance</t>
  </si>
  <si>
    <t>Interest = Bal * IR *(days/365)</t>
  </si>
  <si>
    <t>1-Jan to 31-May26</t>
  </si>
  <si>
    <t>1-June to 30-June26</t>
  </si>
  <si>
    <t>1-July to 31-Dec26</t>
  </si>
  <si>
    <t>1-Jan to 31-May27</t>
  </si>
  <si>
    <t>1-June to 30-June27</t>
  </si>
  <si>
    <t>Term loan - 2</t>
  </si>
  <si>
    <t xml:space="preserve">Opening Balance </t>
  </si>
  <si>
    <t xml:space="preserve">Interest Payment </t>
  </si>
  <si>
    <t>Closing Balnce</t>
  </si>
  <si>
    <t>Term loan - 4</t>
  </si>
  <si>
    <t>1-July to 31-Dec27</t>
  </si>
  <si>
    <t>1-Jan to 31-May28</t>
  </si>
  <si>
    <t>1-June to 30-June28</t>
  </si>
  <si>
    <t>Term loan - 5</t>
  </si>
  <si>
    <t>Term Loan at Varun Beverages Morocco</t>
  </si>
  <si>
    <t>Term Loan - 6</t>
  </si>
  <si>
    <t>Last Payment in JAN 2026</t>
  </si>
  <si>
    <t>Term Loan - 7</t>
  </si>
  <si>
    <t>Principal repayment</t>
  </si>
  <si>
    <t>Term Loan - 8</t>
  </si>
  <si>
    <t>Period</t>
  </si>
  <si>
    <t>Interest</t>
  </si>
  <si>
    <t>2026 Q1</t>
  </si>
  <si>
    <t>Q3</t>
  </si>
  <si>
    <t>Q2</t>
  </si>
  <si>
    <t>Q4</t>
  </si>
  <si>
    <t>Interest in INR</t>
  </si>
  <si>
    <t>2027 Q1</t>
  </si>
  <si>
    <t>2028 Q1</t>
  </si>
  <si>
    <t xml:space="preserve">1 DHS = </t>
  </si>
  <si>
    <t>1 DHS =</t>
  </si>
  <si>
    <t>2029 Q1</t>
  </si>
  <si>
    <t>2030 Q1</t>
  </si>
  <si>
    <t>Term Loan - 9</t>
  </si>
  <si>
    <t>Payment per quarter =</t>
  </si>
  <si>
    <t>MDHS</t>
  </si>
  <si>
    <t>Q1</t>
  </si>
  <si>
    <t>Total Loan=</t>
  </si>
  <si>
    <t>Interest Rate=</t>
  </si>
  <si>
    <t>Principal Repaid</t>
  </si>
  <si>
    <t xml:space="preserve">Total Interest </t>
  </si>
  <si>
    <t>Q1 I</t>
  </si>
  <si>
    <t>Q2 I</t>
  </si>
  <si>
    <t>Q3 I</t>
  </si>
  <si>
    <t>Q4 I</t>
  </si>
  <si>
    <t>Term loan at Lunarmech Technologies Private Limited</t>
  </si>
  <si>
    <t>Term Loan - 12</t>
  </si>
  <si>
    <t>Interest Rate =</t>
  </si>
  <si>
    <t>Interest paid</t>
  </si>
  <si>
    <t>Principal repaid</t>
  </si>
  <si>
    <t>Quarter</t>
  </si>
  <si>
    <t>Installment</t>
  </si>
  <si>
    <t>Interest C</t>
  </si>
  <si>
    <t>Principal Component</t>
  </si>
  <si>
    <t xml:space="preserve">Quarterly IR = </t>
  </si>
  <si>
    <t>Term Loan at Varun Beverages RDC SAS</t>
  </si>
  <si>
    <t>Term Loan - 13</t>
  </si>
  <si>
    <t xml:space="preserve">Interest Rate = </t>
  </si>
  <si>
    <t xml:space="preserve">Monthly IR = </t>
  </si>
  <si>
    <t>Month</t>
  </si>
  <si>
    <t>Principal Paid</t>
  </si>
  <si>
    <t xml:space="preserve">Total </t>
  </si>
  <si>
    <t>Borrowings (non-current)</t>
  </si>
  <si>
    <t>Borrowings (current)</t>
  </si>
  <si>
    <t>Term Loans</t>
  </si>
  <si>
    <t>Leases</t>
  </si>
  <si>
    <t>Interest Expenses</t>
  </si>
  <si>
    <t>Standalone Revenue forecast</t>
  </si>
  <si>
    <t>International Revenue forecast</t>
  </si>
  <si>
    <t>Net Revenue forecast</t>
  </si>
  <si>
    <t>Forecast : Finance costs - to IS</t>
  </si>
  <si>
    <t>Other LTA/LTL</t>
  </si>
  <si>
    <t>Other Long-Term Assets</t>
  </si>
  <si>
    <t>Goodwill</t>
  </si>
  <si>
    <t>Other Intangible assets</t>
  </si>
  <si>
    <t>Inorganic implied PPE added due to acquisition of Twizza South Africa</t>
  </si>
  <si>
    <t>TWIZZA Integaration</t>
  </si>
  <si>
    <t>Other Intangible Assets</t>
  </si>
  <si>
    <t>PPE Implied</t>
  </si>
  <si>
    <t>Goodwill - beg</t>
  </si>
  <si>
    <t>Franchise rights/trademarks</t>
  </si>
  <si>
    <t>Addition due to acquisition  (TWIZZA)</t>
  </si>
  <si>
    <t>Other Definite intangible assets gross - beg</t>
  </si>
  <si>
    <t>FX translation</t>
  </si>
  <si>
    <t>Other Definite intangible assets gross - end</t>
  </si>
  <si>
    <t>Amortization balance as at Jan 01 2025</t>
  </si>
  <si>
    <t>Amortization charge for the year</t>
  </si>
  <si>
    <t>FX translatin difference</t>
  </si>
  <si>
    <t>Amortization balance as at Dec 31 2025</t>
  </si>
  <si>
    <t>Carrying Amount - end of the year</t>
  </si>
  <si>
    <t>Amortization Rate</t>
  </si>
  <si>
    <t>Depreciation, amortization expense</t>
  </si>
  <si>
    <t>Forecast - Depriciation, amortization expense - to IS</t>
  </si>
  <si>
    <t>Other Intangible assets - to BS</t>
  </si>
  <si>
    <t>Goodwill - end - to BS</t>
  </si>
  <si>
    <t>Amortization on ROU</t>
  </si>
  <si>
    <t>Forecast - Net Capex - to CFI</t>
  </si>
  <si>
    <t>Bank Balances other than Cash and cash equivalents</t>
  </si>
  <si>
    <t>Forecast - Amortization of intangible assets and Right of use assets - to CFS</t>
  </si>
  <si>
    <t>Amortization of Right of use assets</t>
  </si>
  <si>
    <t>Cash</t>
  </si>
  <si>
    <t>Forecast: Purchase of stock-in-trade</t>
  </si>
  <si>
    <t>Changes in Trade Receivables - to CFO</t>
  </si>
  <si>
    <t>Changes in Inventories - to CFO</t>
  </si>
  <si>
    <t>Changes in Other current assets - to CFO</t>
  </si>
  <si>
    <t xml:space="preserve">Forecast : Net Fixed Assets - to BS  </t>
  </si>
  <si>
    <t>Interest rate on Cash and cash equivalents</t>
  </si>
  <si>
    <t>Other Bank Balances</t>
  </si>
  <si>
    <t>Total Cash</t>
  </si>
  <si>
    <t>Average Cash</t>
  </si>
  <si>
    <t>Revolver</t>
  </si>
  <si>
    <t>Cash at begeinning of period</t>
  </si>
  <si>
    <t>Lease Liabilities</t>
  </si>
  <si>
    <t>Current maturities of long-term debt</t>
  </si>
  <si>
    <t>Minimum Cash Balance</t>
  </si>
  <si>
    <t>Less: Minimum Cash balance</t>
  </si>
  <si>
    <t>Twizza Acquisition</t>
  </si>
  <si>
    <t>Plus: Current period cash flows</t>
  </si>
  <si>
    <t>Cash available (needed)</t>
  </si>
  <si>
    <t>ST Borrowing (beg)</t>
  </si>
  <si>
    <t>Draw / (Paydown)</t>
  </si>
  <si>
    <t>ST Borrowing (end)</t>
  </si>
  <si>
    <t>Short-Term Debt (revolver debt)</t>
  </si>
  <si>
    <t>Check</t>
  </si>
  <si>
    <t>ST Interest rate</t>
  </si>
  <si>
    <t>ST Interest expense</t>
  </si>
  <si>
    <t>Interest Income</t>
  </si>
  <si>
    <t>Total Revenue</t>
  </si>
  <si>
    <t>Growth rate</t>
  </si>
  <si>
    <t>Other Non-current asset</t>
  </si>
  <si>
    <t>Other Long-term liabilities</t>
  </si>
  <si>
    <t>Changes in other LTA</t>
  </si>
  <si>
    <t>Changes in other LTL</t>
  </si>
  <si>
    <t>Income Tax</t>
  </si>
  <si>
    <t>Cash Tax (from CFS)</t>
  </si>
  <si>
    <t>Income Tax (from IS)</t>
  </si>
  <si>
    <t>EBT</t>
  </si>
  <si>
    <t>Cash tax rate</t>
  </si>
  <si>
    <t>Effective tax rate</t>
  </si>
  <si>
    <t>3-yr avg rate</t>
  </si>
  <si>
    <t>Tax expense (to IS)</t>
  </si>
  <si>
    <t>DTA</t>
  </si>
  <si>
    <t>DTL</t>
  </si>
  <si>
    <t>Change in DTA</t>
  </si>
  <si>
    <t>Change in DTL</t>
  </si>
  <si>
    <t>Share Count</t>
  </si>
  <si>
    <t>Weighted-average share count (Basic)</t>
  </si>
  <si>
    <t>Weighted-average share count (Diluted)</t>
  </si>
  <si>
    <t>Dividend</t>
  </si>
  <si>
    <t>Profit after tax</t>
  </si>
  <si>
    <t>Dividend payout ratio</t>
  </si>
  <si>
    <t>5-yr average</t>
  </si>
  <si>
    <t>Forecast: Dividend ( To IS)</t>
  </si>
  <si>
    <t>4-yr average</t>
  </si>
  <si>
    <t>Equity Schedule</t>
  </si>
  <si>
    <t>Other equity (to BS)</t>
  </si>
  <si>
    <t>Changes in Trade Payables - to CFO</t>
  </si>
  <si>
    <t>Changes in Other current liabilities - to CFO</t>
  </si>
  <si>
    <t>Changes in Provisions - to CFO</t>
  </si>
  <si>
    <t>Changes in Inc. in Financial &amp; Other Liabilities &amp; Provisions</t>
  </si>
  <si>
    <t>Perfromance Metrics</t>
  </si>
  <si>
    <t>Gross Margin</t>
  </si>
  <si>
    <t>EBITDA Margin</t>
  </si>
  <si>
    <t>Net Income Margin</t>
  </si>
  <si>
    <t>Valuation using Free Cash Flow to Equity</t>
  </si>
  <si>
    <t>Cash Flow from Operations</t>
  </si>
  <si>
    <t>CAPEX</t>
  </si>
  <si>
    <t>Net Borrowings</t>
  </si>
  <si>
    <t>Free Cash Flow to Equity</t>
  </si>
  <si>
    <t>Required rate of return</t>
  </si>
  <si>
    <t>Risk free rate</t>
  </si>
  <si>
    <t>Equity risk premium</t>
  </si>
  <si>
    <t>Levered Beta</t>
  </si>
  <si>
    <t>Discounted Cash Flows (Year 1)</t>
  </si>
  <si>
    <t>(Year 2)</t>
  </si>
  <si>
    <t>(Year 3)</t>
  </si>
  <si>
    <t>(Year 4)</t>
  </si>
  <si>
    <t>(Year 5)</t>
  </si>
  <si>
    <t>Terminal Value</t>
  </si>
  <si>
    <t>Discounted Terminal Value</t>
  </si>
  <si>
    <t>Value of Equity</t>
  </si>
  <si>
    <t>No.of shares</t>
  </si>
  <si>
    <t>Per share value of equity</t>
  </si>
  <si>
    <t>Growht %</t>
  </si>
  <si>
    <t>EBIT Margin</t>
  </si>
  <si>
    <t>ROE</t>
  </si>
  <si>
    <t>ROCE</t>
  </si>
  <si>
    <t>Net income</t>
  </si>
  <si>
    <t>Key Ratios</t>
  </si>
  <si>
    <t>Days of sales outstanding</t>
  </si>
  <si>
    <t>Days of inventory on hand</t>
  </si>
  <si>
    <t>Number of days of payables</t>
  </si>
  <si>
    <t>cash conversion cycle</t>
  </si>
  <si>
    <t>Interest Coverage Ratio</t>
  </si>
  <si>
    <t>Sahil Rajendra Kamble</t>
  </si>
  <si>
    <t>Scenarios &amp; Sensitivity Analysis</t>
  </si>
  <si>
    <t xml:space="preserve">Terminal Growth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</si>
</sst>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FY &quot;0&quot;E&quot;"/>
    <numFmt numFmtId="165" formatCode="&quot;FY &quot;0&quot;A&quot;"/>
    <numFmt numFmtId="166" formatCode="_(* #,##0_);_(* \(#,##0\);_(* &quot;-&quot;??_);_(@_)"/>
    <numFmt numFmtId="167" formatCode="0.0%"/>
    <numFmt numFmtId="168" formatCode="0.000%"/>
    <numFmt numFmtId="169" formatCode="_(* #,##0.0_);_(* \(#,##0.0\);_(* &quot;-&quot;??_);_(@_)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/>
      <name val="Calibri"/>
      <family val="2"/>
      <charset val="1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11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theme="4"/>
      <name val="Arial"/>
      <family val="2"/>
    </font>
    <font>
      <sz val="20"/>
      <color theme="1"/>
      <name val="Arial"/>
      <family val="2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</cellStyleXfs>
  <cellXfs count="321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1" xfId="0" applyBorder="1"/>
    <xf numFmtId="43" fontId="0" fillId="0" borderId="0" xfId="2" applyFont="1"/>
    <xf numFmtId="0" fontId="0" fillId="0" borderId="10" xfId="0" applyBorder="1"/>
    <xf numFmtId="43" fontId="4" fillId="0" borderId="0" xfId="2" applyFont="1"/>
    <xf numFmtId="43" fontId="0" fillId="0" borderId="0" xfId="2" applyFont="1" applyFill="1"/>
    <xf numFmtId="0" fontId="0" fillId="0" borderId="0" xfId="0" applyBorder="1"/>
    <xf numFmtId="43" fontId="0" fillId="0" borderId="0" xfId="2" applyFont="1" applyBorder="1"/>
    <xf numFmtId="0" fontId="0" fillId="0" borderId="9" xfId="0" applyBorder="1"/>
    <xf numFmtId="10" fontId="0" fillId="0" borderId="0" xfId="0" applyNumberFormat="1"/>
    <xf numFmtId="0" fontId="0" fillId="0" borderId="11" xfId="0" applyBorder="1"/>
    <xf numFmtId="166" fontId="0" fillId="0" borderId="0" xfId="2" applyNumberFormat="1" applyFont="1"/>
    <xf numFmtId="43" fontId="0" fillId="0" borderId="1" xfId="2" applyFont="1" applyBorder="1"/>
    <xf numFmtId="0" fontId="0" fillId="0" borderId="1" xfId="0" applyFont="1" applyBorder="1"/>
    <xf numFmtId="0" fontId="3" fillId="0" borderId="21" xfId="0" applyFont="1" applyBorder="1"/>
    <xf numFmtId="43" fontId="0" fillId="0" borderId="21" xfId="2" applyFont="1" applyBorder="1"/>
    <xf numFmtId="166" fontId="0" fillId="0" borderId="21" xfId="2" applyNumberFormat="1" applyFont="1" applyBorder="1"/>
    <xf numFmtId="43" fontId="0" fillId="0" borderId="23" xfId="2" applyFont="1" applyBorder="1"/>
    <xf numFmtId="43" fontId="0" fillId="0" borderId="22" xfId="2" applyFont="1" applyBorder="1"/>
    <xf numFmtId="166" fontId="0" fillId="0" borderId="22" xfId="2" applyNumberFormat="1" applyFont="1" applyBorder="1"/>
    <xf numFmtId="43" fontId="0" fillId="0" borderId="24" xfId="2" applyFont="1" applyBorder="1"/>
    <xf numFmtId="43" fontId="0" fillId="0" borderId="25" xfId="2" applyFont="1" applyBorder="1"/>
    <xf numFmtId="166" fontId="0" fillId="0" borderId="21" xfId="2" applyNumberFormat="1" applyFont="1" applyBorder="1" applyAlignment="1">
      <alignment horizontal="center"/>
    </xf>
    <xf numFmtId="10" fontId="0" fillId="0" borderId="21" xfId="1" applyNumberFormat="1" applyFont="1" applyBorder="1"/>
    <xf numFmtId="43" fontId="3" fillId="0" borderId="21" xfId="2" applyFont="1" applyBorder="1"/>
    <xf numFmtId="10" fontId="0" fillId="0" borderId="21" xfId="2" applyNumberFormat="1" applyFont="1" applyBorder="1"/>
    <xf numFmtId="166" fontId="0" fillId="0" borderId="24" xfId="2" applyNumberFormat="1" applyFont="1" applyBorder="1"/>
    <xf numFmtId="43" fontId="0" fillId="0" borderId="26" xfId="2" applyFont="1" applyBorder="1"/>
    <xf numFmtId="166" fontId="0" fillId="0" borderId="26" xfId="2" applyNumberFormat="1" applyFont="1" applyBorder="1"/>
    <xf numFmtId="166" fontId="0" fillId="0" borderId="25" xfId="2" applyNumberFormat="1" applyFont="1" applyBorder="1"/>
    <xf numFmtId="0" fontId="0" fillId="0" borderId="21" xfId="0" applyBorder="1"/>
    <xf numFmtId="10" fontId="0" fillId="0" borderId="21" xfId="0" applyNumberFormat="1" applyBorder="1"/>
    <xf numFmtId="0" fontId="0" fillId="0" borderId="23" xfId="0" applyBorder="1"/>
    <xf numFmtId="0" fontId="0" fillId="0" borderId="22" xfId="0" applyBorder="1"/>
    <xf numFmtId="43" fontId="0" fillId="0" borderId="21" xfId="0" applyNumberFormat="1" applyBorder="1"/>
    <xf numFmtId="43" fontId="0" fillId="0" borderId="22" xfId="0" applyNumberFormat="1" applyBorder="1"/>
    <xf numFmtId="43" fontId="0" fillId="0" borderId="23" xfId="0" applyNumberFormat="1" applyBorder="1"/>
    <xf numFmtId="2" fontId="0" fillId="0" borderId="21" xfId="0" applyNumberFormat="1" applyBorder="1"/>
    <xf numFmtId="0" fontId="0" fillId="0" borderId="27" xfId="0" applyBorder="1"/>
    <xf numFmtId="0" fontId="3" fillId="0" borderId="15" xfId="0" applyFont="1" applyFill="1" applyBorder="1"/>
    <xf numFmtId="0" fontId="3" fillId="0" borderId="11" xfId="0" applyFont="1" applyBorder="1"/>
    <xf numFmtId="0" fontId="7" fillId="0" borderId="1" xfId="0" applyFont="1" applyBorder="1"/>
    <xf numFmtId="0" fontId="3" fillId="0" borderId="21" xfId="0" applyFont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168" fontId="0" fillId="0" borderId="21" xfId="1" applyNumberFormat="1" applyFont="1" applyBorder="1"/>
    <xf numFmtId="2" fontId="0" fillId="0" borderId="23" xfId="0" applyNumberFormat="1" applyBorder="1"/>
    <xf numFmtId="2" fontId="0" fillId="0" borderId="22" xfId="0" applyNumberFormat="1" applyBorder="1"/>
    <xf numFmtId="2" fontId="0" fillId="0" borderId="1" xfId="0" applyNumberFormat="1" applyBorder="1"/>
    <xf numFmtId="2" fontId="0" fillId="0" borderId="0" xfId="0" applyNumberFormat="1" applyBorder="1"/>
    <xf numFmtId="0" fontId="3" fillId="2" borderId="21" xfId="0" applyFont="1" applyFill="1" applyBorder="1"/>
    <xf numFmtId="166" fontId="0" fillId="0" borderId="0" xfId="2" applyNumberFormat="1" applyFont="1" applyBorder="1"/>
    <xf numFmtId="43" fontId="0" fillId="0" borderId="0" xfId="0" applyNumberFormat="1" applyBorder="1"/>
    <xf numFmtId="0" fontId="0" fillId="0" borderId="21" xfId="0" applyFill="1" applyBorder="1"/>
    <xf numFmtId="0" fontId="0" fillId="2" borderId="21" xfId="0" applyFill="1" applyBorder="1"/>
    <xf numFmtId="0" fontId="11" fillId="0" borderId="0" xfId="0" applyFont="1"/>
    <xf numFmtId="0" fontId="12" fillId="2" borderId="3" xfId="0" applyFont="1" applyFill="1" applyBorder="1" applyAlignment="1">
      <alignment horizontal="centerContinuous"/>
    </xf>
    <xf numFmtId="0" fontId="12" fillId="2" borderId="4" xfId="0" applyFont="1" applyFill="1" applyBorder="1" applyAlignment="1">
      <alignment horizontal="centerContinuous"/>
    </xf>
    <xf numFmtId="0" fontId="13" fillId="3" borderId="6" xfId="0" applyFont="1" applyFill="1" applyBorder="1" applyAlignment="1">
      <alignment horizontal="centerContinuous"/>
    </xf>
    <xf numFmtId="0" fontId="11" fillId="3" borderId="6" xfId="0" applyFont="1" applyFill="1" applyBorder="1" applyAlignment="1">
      <alignment horizontal="centerContinuous"/>
    </xf>
    <xf numFmtId="0" fontId="11" fillId="3" borderId="7" xfId="0" applyFont="1" applyFill="1" applyBorder="1" applyAlignment="1">
      <alignment horizontal="centerContinuous"/>
    </xf>
    <xf numFmtId="0" fontId="13" fillId="0" borderId="0" xfId="0" applyFont="1"/>
    <xf numFmtId="43" fontId="11" fillId="0" borderId="0" xfId="2" applyFont="1"/>
    <xf numFmtId="0" fontId="12" fillId="2" borderId="10" xfId="0" applyFont="1" applyFill="1" applyBorder="1" applyAlignment="1">
      <alignment horizontal="centerContinuous"/>
    </xf>
    <xf numFmtId="0" fontId="12" fillId="2" borderId="11" xfId="0" applyFont="1" applyFill="1" applyBorder="1" applyAlignment="1">
      <alignment horizontal="centerContinuous"/>
    </xf>
    <xf numFmtId="43" fontId="11" fillId="0" borderId="0" xfId="2" applyFont="1" applyFill="1"/>
    <xf numFmtId="0" fontId="11" fillId="0" borderId="0" xfId="0" applyFont="1" applyFill="1"/>
    <xf numFmtId="164" fontId="11" fillId="0" borderId="1" xfId="0" applyNumberFormat="1" applyFont="1" applyBorder="1"/>
    <xf numFmtId="9" fontId="11" fillId="0" borderId="0" xfId="0" applyNumberFormat="1" applyFont="1"/>
    <xf numFmtId="164" fontId="11" fillId="0" borderId="0" xfId="0" applyNumberFormat="1" applyFont="1" applyBorder="1"/>
    <xf numFmtId="0" fontId="14" fillId="0" borderId="0" xfId="0" applyFont="1"/>
    <xf numFmtId="0" fontId="15" fillId="0" borderId="0" xfId="0" applyFont="1"/>
    <xf numFmtId="0" fontId="14" fillId="0" borderId="9" xfId="0" applyFont="1" applyBorder="1"/>
    <xf numFmtId="0" fontId="14" fillId="0" borderId="10" xfId="0" applyFont="1" applyBorder="1"/>
    <xf numFmtId="9" fontId="14" fillId="4" borderId="9" xfId="1" applyFont="1" applyFill="1" applyBorder="1"/>
    <xf numFmtId="9" fontId="14" fillId="4" borderId="10" xfId="1" applyFont="1" applyFill="1" applyBorder="1"/>
    <xf numFmtId="9" fontId="14" fillId="4" borderId="11" xfId="1" applyFont="1" applyFill="1" applyBorder="1"/>
    <xf numFmtId="0" fontId="14" fillId="0" borderId="15" xfId="0" applyFont="1" applyBorder="1"/>
    <xf numFmtId="0" fontId="14" fillId="0" borderId="0" xfId="0" applyFont="1" applyBorder="1"/>
    <xf numFmtId="0" fontId="14" fillId="0" borderId="16" xfId="0" applyFont="1" applyBorder="1"/>
    <xf numFmtId="9" fontId="14" fillId="4" borderId="15" xfId="0" applyNumberFormat="1" applyFont="1" applyFill="1" applyBorder="1"/>
    <xf numFmtId="9" fontId="14" fillId="4" borderId="0" xfId="1" applyFont="1" applyFill="1" applyBorder="1"/>
    <xf numFmtId="9" fontId="14" fillId="4" borderId="0" xfId="0" applyNumberFormat="1" applyFont="1" applyFill="1" applyBorder="1"/>
    <xf numFmtId="9" fontId="14" fillId="4" borderId="16" xfId="0" applyNumberFormat="1" applyFont="1" applyFill="1" applyBorder="1"/>
    <xf numFmtId="0" fontId="14" fillId="0" borderId="17" xfId="0" applyFont="1" applyBorder="1"/>
    <xf numFmtId="0" fontId="14" fillId="0" borderId="1" xfId="0" applyFont="1" applyBorder="1"/>
    <xf numFmtId="9" fontId="14" fillId="4" borderId="17" xfId="0" applyNumberFormat="1" applyFont="1" applyFill="1" applyBorder="1"/>
    <xf numFmtId="9" fontId="14" fillId="4" borderId="1" xfId="0" applyNumberFormat="1" applyFont="1" applyFill="1" applyBorder="1"/>
    <xf numFmtId="9" fontId="14" fillId="4" borderId="18" xfId="0" applyNumberFormat="1" applyFont="1" applyFill="1" applyBorder="1"/>
    <xf numFmtId="167" fontId="14" fillId="4" borderId="9" xfId="1" applyNumberFormat="1" applyFont="1" applyFill="1" applyBorder="1"/>
    <xf numFmtId="167" fontId="14" fillId="4" borderId="10" xfId="1" applyNumberFormat="1" applyFont="1" applyFill="1" applyBorder="1"/>
    <xf numFmtId="167" fontId="14" fillId="4" borderId="11" xfId="1" applyNumberFormat="1" applyFont="1" applyFill="1" applyBorder="1"/>
    <xf numFmtId="167" fontId="14" fillId="4" borderId="15" xfId="0" applyNumberFormat="1" applyFont="1" applyFill="1" applyBorder="1"/>
    <xf numFmtId="167" fontId="14" fillId="4" borderId="0" xfId="0" applyNumberFormat="1" applyFont="1" applyFill="1" applyBorder="1"/>
    <xf numFmtId="167" fontId="14" fillId="4" borderId="16" xfId="0" applyNumberFormat="1" applyFont="1" applyFill="1" applyBorder="1"/>
    <xf numFmtId="167" fontId="14" fillId="4" borderId="17" xfId="0" applyNumberFormat="1" applyFont="1" applyFill="1" applyBorder="1"/>
    <xf numFmtId="167" fontId="14" fillId="4" borderId="1" xfId="0" applyNumberFormat="1" applyFont="1" applyFill="1" applyBorder="1"/>
    <xf numFmtId="167" fontId="14" fillId="4" borderId="18" xfId="0" applyNumberFormat="1" applyFont="1" applyFill="1" applyBorder="1"/>
    <xf numFmtId="167" fontId="14" fillId="4" borderId="13" xfId="0" applyNumberFormat="1" applyFont="1" applyFill="1" applyBorder="1"/>
    <xf numFmtId="167" fontId="14" fillId="4" borderId="8" xfId="0" applyNumberFormat="1" applyFont="1" applyFill="1" applyBorder="1"/>
    <xf numFmtId="167" fontId="14" fillId="4" borderId="14" xfId="0" applyNumberFormat="1" applyFont="1" applyFill="1" applyBorder="1"/>
    <xf numFmtId="10" fontId="14" fillId="4" borderId="1" xfId="0" applyNumberFormat="1" applyFont="1" applyFill="1" applyBorder="1"/>
    <xf numFmtId="10" fontId="14" fillId="4" borderId="18" xfId="0" applyNumberFormat="1" applyFont="1" applyFill="1" applyBorder="1"/>
    <xf numFmtId="0" fontId="15" fillId="0" borderId="9" xfId="0" applyFont="1" applyBorder="1"/>
    <xf numFmtId="0" fontId="14" fillId="0" borderId="11" xfId="0" applyFont="1" applyBorder="1"/>
    <xf numFmtId="9" fontId="14" fillId="0" borderId="0" xfId="0" applyNumberFormat="1" applyFont="1" applyBorder="1"/>
    <xf numFmtId="9" fontId="14" fillId="0" borderId="16" xfId="0" applyNumberFormat="1" applyFont="1" applyBorder="1"/>
    <xf numFmtId="167" fontId="14" fillId="0" borderId="0" xfId="0" applyNumberFormat="1" applyFont="1" applyBorder="1"/>
    <xf numFmtId="167" fontId="14" fillId="0" borderId="16" xfId="0" applyNumberFormat="1" applyFont="1" applyBorder="1"/>
    <xf numFmtId="0" fontId="14" fillId="0" borderId="18" xfId="0" applyFont="1" applyBorder="1"/>
    <xf numFmtId="0" fontId="15" fillId="0" borderId="17" xfId="0" applyFont="1" applyBorder="1"/>
    <xf numFmtId="10" fontId="14" fillId="0" borderId="1" xfId="0" applyNumberFormat="1" applyFont="1" applyBorder="1"/>
    <xf numFmtId="10" fontId="14" fillId="0" borderId="18" xfId="0" applyNumberFormat="1" applyFont="1" applyBorder="1"/>
    <xf numFmtId="10" fontId="14" fillId="0" borderId="0" xfId="0" applyNumberFormat="1" applyFont="1" applyBorder="1"/>
    <xf numFmtId="10" fontId="14" fillId="0" borderId="16" xfId="0" applyNumberFormat="1" applyFont="1" applyBorder="1"/>
    <xf numFmtId="10" fontId="14" fillId="0" borderId="1" xfId="0" applyNumberFormat="1" applyFont="1" applyFill="1" applyBorder="1"/>
    <xf numFmtId="10" fontId="14" fillId="0" borderId="18" xfId="0" applyNumberFormat="1" applyFont="1" applyFill="1" applyBorder="1"/>
    <xf numFmtId="10" fontId="14" fillId="0" borderId="0" xfId="0" applyNumberFormat="1" applyFont="1" applyFill="1" applyBorder="1"/>
    <xf numFmtId="43" fontId="14" fillId="0" borderId="0" xfId="2" applyFont="1" applyBorder="1"/>
    <xf numFmtId="43" fontId="14" fillId="0" borderId="0" xfId="2" applyFont="1" applyFill="1" applyBorder="1"/>
    <xf numFmtId="0" fontId="15" fillId="0" borderId="15" xfId="0" applyFont="1" applyBorder="1"/>
    <xf numFmtId="10" fontId="14" fillId="0" borderId="0" xfId="0" applyNumberFormat="1" applyFont="1"/>
    <xf numFmtId="43" fontId="14" fillId="0" borderId="0" xfId="2" applyFont="1"/>
    <xf numFmtId="43" fontId="14" fillId="0" borderId="10" xfId="2" applyFont="1" applyBorder="1"/>
    <xf numFmtId="43" fontId="14" fillId="0" borderId="11" xfId="2" applyFont="1" applyBorder="1"/>
    <xf numFmtId="43" fontId="14" fillId="0" borderId="16" xfId="2" applyFont="1" applyBorder="1"/>
    <xf numFmtId="0" fontId="14" fillId="0" borderId="0" xfId="0" applyFont="1" applyFill="1" applyBorder="1"/>
    <xf numFmtId="0" fontId="14" fillId="0" borderId="1" xfId="0" applyFont="1" applyFill="1" applyBorder="1"/>
    <xf numFmtId="43" fontId="14" fillId="0" borderId="1" xfId="2" applyFont="1" applyBorder="1"/>
    <xf numFmtId="43" fontId="14" fillId="0" borderId="18" xfId="2" applyFont="1" applyBorder="1"/>
    <xf numFmtId="0" fontId="16" fillId="0" borderId="1" xfId="3" applyFont="1" applyFill="1" applyBorder="1" applyAlignment="1"/>
    <xf numFmtId="9" fontId="14" fillId="0" borderId="1" xfId="2" applyNumberFormat="1" applyFont="1" applyBorder="1"/>
    <xf numFmtId="43" fontId="14" fillId="0" borderId="14" xfId="2" applyFont="1" applyBorder="1"/>
    <xf numFmtId="10" fontId="14" fillId="0" borderId="0" xfId="2" applyNumberFormat="1" applyFont="1" applyBorder="1"/>
    <xf numFmtId="10" fontId="14" fillId="0" borderId="16" xfId="2" applyNumberFormat="1" applyFont="1" applyBorder="1"/>
    <xf numFmtId="10" fontId="14" fillId="0" borderId="1" xfId="2" applyNumberFormat="1" applyFont="1" applyBorder="1"/>
    <xf numFmtId="10" fontId="14" fillId="0" borderId="18" xfId="2" applyNumberFormat="1" applyFont="1" applyBorder="1"/>
    <xf numFmtId="0" fontId="14" fillId="0" borderId="13" xfId="0" applyFont="1" applyBorder="1"/>
    <xf numFmtId="0" fontId="14" fillId="0" borderId="8" xfId="0" applyFont="1" applyBorder="1"/>
    <xf numFmtId="43" fontId="14" fillId="0" borderId="8" xfId="2" applyFont="1" applyBorder="1"/>
    <xf numFmtId="0" fontId="14" fillId="0" borderId="10" xfId="0" applyFont="1" applyFill="1" applyBorder="1"/>
    <xf numFmtId="0" fontId="12" fillId="2" borderId="9" xfId="0" applyFont="1" applyFill="1" applyBorder="1" applyAlignment="1">
      <alignment horizontal="centerContinuous"/>
    </xf>
    <xf numFmtId="0" fontId="17" fillId="0" borderId="0" xfId="0" applyFont="1"/>
    <xf numFmtId="0" fontId="15" fillId="0" borderId="1" xfId="0" applyFont="1" applyBorder="1"/>
    <xf numFmtId="165" fontId="14" fillId="0" borderId="1" xfId="0" applyNumberFormat="1" applyFont="1" applyBorder="1"/>
    <xf numFmtId="164" fontId="14" fillId="4" borderId="1" xfId="0" applyNumberFormat="1" applyFont="1" applyFill="1" applyBorder="1"/>
    <xf numFmtId="0" fontId="14" fillId="4" borderId="0" xfId="0" applyFont="1" applyFill="1"/>
    <xf numFmtId="43" fontId="14" fillId="4" borderId="0" xfId="2" applyFont="1" applyFill="1"/>
    <xf numFmtId="43" fontId="18" fillId="0" borderId="0" xfId="2" applyFont="1"/>
    <xf numFmtId="0" fontId="17" fillId="0" borderId="1" xfId="0" applyFont="1" applyBorder="1"/>
    <xf numFmtId="43" fontId="18" fillId="0" borderId="1" xfId="2" applyFont="1" applyBorder="1"/>
    <xf numFmtId="43" fontId="14" fillId="4" borderId="1" xfId="2" applyFont="1" applyFill="1" applyBorder="1"/>
    <xf numFmtId="43" fontId="14" fillId="5" borderId="0" xfId="2" applyFont="1" applyFill="1"/>
    <xf numFmtId="0" fontId="17" fillId="0" borderId="10" xfId="0" applyFont="1" applyBorder="1"/>
    <xf numFmtId="0" fontId="15" fillId="0" borderId="10" xfId="0" applyFont="1" applyBorder="1"/>
    <xf numFmtId="43" fontId="14" fillId="4" borderId="10" xfId="2" applyFont="1" applyFill="1" applyBorder="1"/>
    <xf numFmtId="43" fontId="14" fillId="4" borderId="8" xfId="2" applyFont="1" applyFill="1" applyBorder="1"/>
    <xf numFmtId="166" fontId="18" fillId="0" borderId="0" xfId="2" applyNumberFormat="1" applyFont="1"/>
    <xf numFmtId="166" fontId="14" fillId="4" borderId="0" xfId="2" applyNumberFormat="1" applyFont="1" applyFill="1"/>
    <xf numFmtId="43" fontId="14" fillId="0" borderId="0" xfId="2" applyFont="1" applyFill="1"/>
    <xf numFmtId="43" fontId="14" fillId="4" borderId="0" xfId="2" applyFont="1" applyFill="1" applyBorder="1"/>
    <xf numFmtId="0" fontId="15" fillId="0" borderId="8" xfId="0" applyFont="1" applyBorder="1"/>
    <xf numFmtId="0" fontId="14" fillId="0" borderId="12" xfId="0" applyFont="1" applyBorder="1"/>
    <xf numFmtId="0" fontId="15" fillId="0" borderId="12" xfId="0" applyFont="1" applyBorder="1"/>
    <xf numFmtId="43" fontId="14" fillId="0" borderId="12" xfId="2" applyFont="1" applyBorder="1"/>
    <xf numFmtId="43" fontId="14" fillId="4" borderId="12" xfId="2" applyFont="1" applyFill="1" applyBorder="1"/>
    <xf numFmtId="0" fontId="14" fillId="0" borderId="0" xfId="0" applyFont="1" applyAlignment="1">
      <alignment horizontal="center" vertical="top"/>
    </xf>
    <xf numFmtId="0" fontId="15" fillId="0" borderId="8" xfId="0" applyFont="1" applyBorder="1" applyAlignment="1">
      <alignment horizontal="right"/>
    </xf>
    <xf numFmtId="0" fontId="15" fillId="0" borderId="8" xfId="0" applyFont="1" applyBorder="1" applyAlignment="1">
      <alignment horizontal="left"/>
    </xf>
    <xf numFmtId="0" fontId="14" fillId="0" borderId="0" xfId="0" applyFont="1" applyBorder="1" applyAlignment="1">
      <alignment horizontal="right" vertical="center"/>
    </xf>
    <xf numFmtId="43" fontId="18" fillId="0" borderId="0" xfId="2" applyFont="1" applyBorder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15" fillId="0" borderId="10" xfId="0" applyFont="1" applyBorder="1" applyAlignment="1">
      <alignment horizontal="right"/>
    </xf>
    <xf numFmtId="0" fontId="15" fillId="0" borderId="12" xfId="0" applyFont="1" applyBorder="1" applyAlignment="1">
      <alignment horizontal="right"/>
    </xf>
    <xf numFmtId="0" fontId="12" fillId="2" borderId="2" xfId="0" applyFont="1" applyFill="1" applyBorder="1" applyAlignment="1">
      <alignment horizontal="centerContinuous"/>
    </xf>
    <xf numFmtId="0" fontId="19" fillId="3" borderId="5" xfId="0" applyFont="1" applyFill="1" applyBorder="1" applyAlignment="1">
      <alignment horizontal="centerContinuous"/>
    </xf>
    <xf numFmtId="0" fontId="14" fillId="4" borderId="8" xfId="0" applyFont="1" applyFill="1" applyBorder="1"/>
    <xf numFmtId="2" fontId="14" fillId="0" borderId="0" xfId="0" applyNumberFormat="1" applyFont="1"/>
    <xf numFmtId="2" fontId="14" fillId="4" borderId="0" xfId="0" applyNumberFormat="1" applyFont="1" applyFill="1"/>
    <xf numFmtId="43" fontId="14" fillId="4" borderId="0" xfId="0" applyNumberFormat="1" applyFont="1" applyFill="1"/>
    <xf numFmtId="43" fontId="14" fillId="4" borderId="8" xfId="0" applyNumberFormat="1" applyFont="1" applyFill="1" applyBorder="1"/>
    <xf numFmtId="43" fontId="14" fillId="0" borderId="0" xfId="0" applyNumberFormat="1" applyFont="1"/>
    <xf numFmtId="10" fontId="14" fillId="0" borderId="0" xfId="1" applyNumberFormat="1" applyFont="1"/>
    <xf numFmtId="0" fontId="14" fillId="0" borderId="0" xfId="0" applyFont="1" applyFill="1"/>
    <xf numFmtId="0" fontId="14" fillId="4" borderId="1" xfId="0" applyFont="1" applyFill="1" applyBorder="1"/>
    <xf numFmtId="0" fontId="15" fillId="0" borderId="0" xfId="0" applyFont="1" applyFill="1" applyBorder="1"/>
    <xf numFmtId="0" fontId="15" fillId="0" borderId="8" xfId="0" applyFont="1" applyFill="1" applyBorder="1"/>
    <xf numFmtId="10" fontId="14" fillId="4" borderId="0" xfId="1" applyNumberFormat="1" applyFont="1" applyFill="1"/>
    <xf numFmtId="10" fontId="14" fillId="0" borderId="0" xfId="2" applyNumberFormat="1" applyFont="1"/>
    <xf numFmtId="0" fontId="16" fillId="0" borderId="0" xfId="3" applyFont="1" applyAlignment="1"/>
    <xf numFmtId="0" fontId="16" fillId="0" borderId="8" xfId="3" applyFont="1" applyFill="1" applyBorder="1" applyAlignment="1"/>
    <xf numFmtId="43" fontId="18" fillId="0" borderId="8" xfId="2" applyFont="1" applyBorder="1"/>
    <xf numFmtId="0" fontId="16" fillId="0" borderId="0" xfId="3" applyFont="1" applyFill="1" applyBorder="1" applyAlignment="1"/>
    <xf numFmtId="9" fontId="14" fillId="0" borderId="0" xfId="2" applyNumberFormat="1" applyFont="1"/>
    <xf numFmtId="43" fontId="18" fillId="0" borderId="19" xfId="2" applyFont="1" applyBorder="1" applyAlignment="1">
      <alignment horizontal="right"/>
    </xf>
    <xf numFmtId="43" fontId="18" fillId="0" borderId="20" xfId="2" applyFont="1" applyBorder="1" applyAlignment="1">
      <alignment horizontal="right"/>
    </xf>
    <xf numFmtId="10" fontId="14" fillId="0" borderId="8" xfId="1" applyNumberFormat="1" applyFont="1" applyBorder="1"/>
    <xf numFmtId="43" fontId="18" fillId="0" borderId="0" xfId="2" applyNumberFormat="1" applyFont="1"/>
    <xf numFmtId="43" fontId="18" fillId="0" borderId="19" xfId="2" applyNumberFormat="1" applyFont="1" applyBorder="1" applyAlignment="1">
      <alignment horizontal="right"/>
    </xf>
    <xf numFmtId="43" fontId="18" fillId="0" borderId="20" xfId="2" applyNumberFormat="1" applyFont="1" applyBorder="1" applyAlignment="1">
      <alignment horizontal="right"/>
    </xf>
    <xf numFmtId="0" fontId="15" fillId="0" borderId="0" xfId="0" applyFont="1" applyBorder="1"/>
    <xf numFmtId="4" fontId="18" fillId="0" borderId="0" xfId="0" applyNumberFormat="1" applyFont="1"/>
    <xf numFmtId="43" fontId="18" fillId="0" borderId="0" xfId="0" applyNumberFormat="1" applyFont="1" applyBorder="1"/>
    <xf numFmtId="43" fontId="14" fillId="0" borderId="0" xfId="0" applyNumberFormat="1" applyFont="1" applyBorder="1"/>
    <xf numFmtId="43" fontId="14" fillId="4" borderId="0" xfId="0" applyNumberFormat="1" applyFont="1" applyFill="1" applyBorder="1"/>
    <xf numFmtId="43" fontId="14" fillId="0" borderId="8" xfId="0" applyNumberFormat="1" applyFont="1" applyBorder="1"/>
    <xf numFmtId="10" fontId="14" fillId="4" borderId="0" xfId="2" applyNumberFormat="1" applyFont="1" applyFill="1" applyBorder="1"/>
    <xf numFmtId="0" fontId="14" fillId="0" borderId="8" xfId="0" applyFont="1" applyFill="1" applyBorder="1"/>
    <xf numFmtId="43" fontId="14" fillId="4" borderId="0" xfId="0" quotePrefix="1" applyNumberFormat="1" applyFont="1" applyFill="1"/>
    <xf numFmtId="165" fontId="14" fillId="0" borderId="0" xfId="0" applyNumberFormat="1" applyFont="1" applyBorder="1"/>
    <xf numFmtId="164" fontId="14" fillId="4" borderId="0" xfId="0" applyNumberFormat="1" applyFont="1" applyFill="1" applyBorder="1"/>
    <xf numFmtId="43" fontId="14" fillId="0" borderId="8" xfId="2" applyFont="1" applyFill="1" applyBorder="1"/>
    <xf numFmtId="10" fontId="14" fillId="0" borderId="0" xfId="1" applyNumberFormat="1" applyFont="1" applyBorder="1"/>
    <xf numFmtId="10" fontId="14" fillId="4" borderId="0" xfId="0" applyNumberFormat="1" applyFont="1" applyFill="1"/>
    <xf numFmtId="166" fontId="14" fillId="0" borderId="0" xfId="2" applyNumberFormat="1" applyFont="1"/>
    <xf numFmtId="9" fontId="14" fillId="4" borderId="0" xfId="1" applyFont="1" applyFill="1"/>
    <xf numFmtId="10" fontId="14" fillId="0" borderId="8" xfId="0" applyNumberFormat="1" applyFont="1" applyBorder="1"/>
    <xf numFmtId="169" fontId="14" fillId="0" borderId="0" xfId="2" applyNumberFormat="1" applyFont="1"/>
    <xf numFmtId="43" fontId="15" fillId="0" borderId="10" xfId="2" applyFont="1" applyBorder="1"/>
    <xf numFmtId="43" fontId="15" fillId="0" borderId="11" xfId="2" applyFont="1" applyBorder="1"/>
    <xf numFmtId="43" fontId="14" fillId="0" borderId="0" xfId="1" applyNumberFormat="1" applyFont="1"/>
    <xf numFmtId="43" fontId="14" fillId="4" borderId="0" xfId="1" applyNumberFormat="1" applyFont="1" applyFill="1"/>
    <xf numFmtId="10" fontId="14" fillId="0" borderId="1" xfId="1" applyNumberFormat="1" applyFont="1" applyBorder="1"/>
    <xf numFmtId="166" fontId="14" fillId="0" borderId="1" xfId="2" applyNumberFormat="1" applyFont="1" applyBorder="1"/>
    <xf numFmtId="166" fontId="14" fillId="4" borderId="1" xfId="2" applyNumberFormat="1" applyFont="1" applyFill="1" applyBorder="1"/>
    <xf numFmtId="166" fontId="14" fillId="0" borderId="0" xfId="1" applyNumberFormat="1" applyFont="1"/>
    <xf numFmtId="166" fontId="14" fillId="4" borderId="0" xfId="1" applyNumberFormat="1" applyFont="1" applyFill="1"/>
    <xf numFmtId="0" fontId="20" fillId="6" borderId="0" xfId="0" applyFont="1" applyFill="1"/>
    <xf numFmtId="0" fontId="14" fillId="7" borderId="9" xfId="0" applyFont="1" applyFill="1" applyBorder="1"/>
    <xf numFmtId="0" fontId="14" fillId="7" borderId="10" xfId="0" applyFont="1" applyFill="1" applyBorder="1"/>
    <xf numFmtId="9" fontId="14" fillId="7" borderId="9" xfId="1" applyFont="1" applyFill="1" applyBorder="1"/>
    <xf numFmtId="9" fontId="14" fillId="7" borderId="10" xfId="1" applyFont="1" applyFill="1" applyBorder="1"/>
    <xf numFmtId="9" fontId="14" fillId="7" borderId="11" xfId="1" applyFont="1" applyFill="1" applyBorder="1"/>
    <xf numFmtId="0" fontId="14" fillId="7" borderId="15" xfId="0" applyFont="1" applyFill="1" applyBorder="1"/>
    <xf numFmtId="0" fontId="14" fillId="7" borderId="0" xfId="0" applyFont="1" applyFill="1" applyBorder="1"/>
    <xf numFmtId="0" fontId="14" fillId="7" borderId="16" xfId="0" applyFont="1" applyFill="1" applyBorder="1"/>
    <xf numFmtId="9" fontId="18" fillId="7" borderId="15" xfId="0" applyNumberFormat="1" applyFont="1" applyFill="1" applyBorder="1"/>
    <xf numFmtId="9" fontId="18" fillId="7" borderId="0" xfId="1" applyFont="1" applyFill="1" applyBorder="1"/>
    <xf numFmtId="9" fontId="18" fillId="7" borderId="0" xfId="0" applyNumberFormat="1" applyFont="1" applyFill="1" applyBorder="1"/>
    <xf numFmtId="9" fontId="18" fillId="7" borderId="16" xfId="0" applyNumberFormat="1" applyFont="1" applyFill="1" applyBorder="1"/>
    <xf numFmtId="0" fontId="14" fillId="7" borderId="17" xfId="0" applyFont="1" applyFill="1" applyBorder="1"/>
    <xf numFmtId="0" fontId="14" fillId="7" borderId="1" xfId="0" applyFont="1" applyFill="1" applyBorder="1"/>
    <xf numFmtId="9" fontId="18" fillId="7" borderId="17" xfId="0" applyNumberFormat="1" applyFont="1" applyFill="1" applyBorder="1"/>
    <xf numFmtId="9" fontId="18" fillId="7" borderId="1" xfId="0" applyNumberFormat="1" applyFont="1" applyFill="1" applyBorder="1"/>
    <xf numFmtId="9" fontId="18" fillId="7" borderId="18" xfId="0" applyNumberFormat="1" applyFont="1" applyFill="1" applyBorder="1"/>
    <xf numFmtId="167" fontId="14" fillId="7" borderId="9" xfId="1" applyNumberFormat="1" applyFont="1" applyFill="1" applyBorder="1"/>
    <xf numFmtId="167" fontId="14" fillId="7" borderId="10" xfId="1" applyNumberFormat="1" applyFont="1" applyFill="1" applyBorder="1"/>
    <xf numFmtId="167" fontId="14" fillId="7" borderId="11" xfId="1" applyNumberFormat="1" applyFont="1" applyFill="1" applyBorder="1"/>
    <xf numFmtId="167" fontId="18" fillId="7" borderId="15" xfId="0" applyNumberFormat="1" applyFont="1" applyFill="1" applyBorder="1"/>
    <xf numFmtId="167" fontId="18" fillId="7" borderId="0" xfId="0" applyNumberFormat="1" applyFont="1" applyFill="1" applyBorder="1"/>
    <xf numFmtId="167" fontId="18" fillId="7" borderId="16" xfId="0" applyNumberFormat="1" applyFont="1" applyFill="1" applyBorder="1"/>
    <xf numFmtId="167" fontId="18" fillId="7" borderId="17" xfId="0" applyNumberFormat="1" applyFont="1" applyFill="1" applyBorder="1"/>
    <xf numFmtId="167" fontId="18" fillId="7" borderId="1" xfId="0" applyNumberFormat="1" applyFont="1" applyFill="1" applyBorder="1"/>
    <xf numFmtId="167" fontId="18" fillId="7" borderId="18" xfId="0" applyNumberFormat="1" applyFont="1" applyFill="1" applyBorder="1"/>
    <xf numFmtId="167" fontId="18" fillId="7" borderId="13" xfId="0" applyNumberFormat="1" applyFont="1" applyFill="1" applyBorder="1"/>
    <xf numFmtId="167" fontId="18" fillId="7" borderId="8" xfId="0" applyNumberFormat="1" applyFont="1" applyFill="1" applyBorder="1"/>
    <xf numFmtId="167" fontId="18" fillId="7" borderId="14" xfId="0" applyNumberFormat="1" applyFont="1" applyFill="1" applyBorder="1"/>
    <xf numFmtId="10" fontId="18" fillId="7" borderId="1" xfId="0" applyNumberFormat="1" applyFont="1" applyFill="1" applyBorder="1"/>
    <xf numFmtId="10" fontId="18" fillId="7" borderId="18" xfId="0" applyNumberFormat="1" applyFont="1" applyFill="1" applyBorder="1"/>
    <xf numFmtId="0" fontId="15" fillId="7" borderId="9" xfId="0" applyFont="1" applyFill="1" applyBorder="1"/>
    <xf numFmtId="0" fontId="14" fillId="7" borderId="11" xfId="0" applyFont="1" applyFill="1" applyBorder="1"/>
    <xf numFmtId="9" fontId="14" fillId="7" borderId="0" xfId="0" applyNumberFormat="1" applyFont="1" applyFill="1" applyBorder="1"/>
    <xf numFmtId="9" fontId="14" fillId="7" borderId="16" xfId="0" applyNumberFormat="1" applyFont="1" applyFill="1" applyBorder="1"/>
    <xf numFmtId="167" fontId="14" fillId="7" borderId="0" xfId="0" applyNumberFormat="1" applyFont="1" applyFill="1" applyBorder="1"/>
    <xf numFmtId="167" fontId="14" fillId="7" borderId="16" xfId="0" applyNumberFormat="1" applyFont="1" applyFill="1" applyBorder="1"/>
    <xf numFmtId="0" fontId="14" fillId="7" borderId="18" xfId="0" applyFont="1" applyFill="1" applyBorder="1"/>
    <xf numFmtId="0" fontId="15" fillId="7" borderId="17" xfId="0" applyFont="1" applyFill="1" applyBorder="1"/>
    <xf numFmtId="10" fontId="14" fillId="7" borderId="1" xfId="0" applyNumberFormat="1" applyFont="1" applyFill="1" applyBorder="1"/>
    <xf numFmtId="10" fontId="14" fillId="7" borderId="18" xfId="0" applyNumberFormat="1" applyFont="1" applyFill="1" applyBorder="1"/>
    <xf numFmtId="10" fontId="14" fillId="7" borderId="0" xfId="0" applyNumberFormat="1" applyFont="1" applyFill="1" applyBorder="1"/>
    <xf numFmtId="10" fontId="14" fillId="7" borderId="16" xfId="0" applyNumberFormat="1" applyFont="1" applyFill="1" applyBorder="1"/>
    <xf numFmtId="0" fontId="15" fillId="7" borderId="15" xfId="0" applyFont="1" applyFill="1" applyBorder="1"/>
    <xf numFmtId="10" fontId="18" fillId="7" borderId="16" xfId="0" applyNumberFormat="1" applyFont="1" applyFill="1" applyBorder="1"/>
    <xf numFmtId="43" fontId="14" fillId="7" borderId="10" xfId="2" applyFont="1" applyFill="1" applyBorder="1"/>
    <xf numFmtId="43" fontId="14" fillId="7" borderId="11" xfId="2" applyFont="1" applyFill="1" applyBorder="1"/>
    <xf numFmtId="43" fontId="14" fillId="7" borderId="0" xfId="2" applyFont="1" applyFill="1" applyBorder="1"/>
    <xf numFmtId="43" fontId="18" fillId="7" borderId="0" xfId="2" applyFont="1" applyFill="1" applyBorder="1"/>
    <xf numFmtId="43" fontId="14" fillId="7" borderId="16" xfId="2" applyFont="1" applyFill="1" applyBorder="1"/>
    <xf numFmtId="43" fontId="14" fillId="7" borderId="1" xfId="2" applyFont="1" applyFill="1" applyBorder="1"/>
    <xf numFmtId="43" fontId="18" fillId="7" borderId="1" xfId="2" applyFont="1" applyFill="1" applyBorder="1"/>
    <xf numFmtId="43" fontId="14" fillId="7" borderId="18" xfId="2" applyFont="1" applyFill="1" applyBorder="1"/>
    <xf numFmtId="0" fontId="16" fillId="7" borderId="1" xfId="3" applyFont="1" applyFill="1" applyBorder="1" applyAlignment="1"/>
    <xf numFmtId="9" fontId="18" fillId="7" borderId="1" xfId="2" applyNumberFormat="1" applyFont="1" applyFill="1" applyBorder="1"/>
    <xf numFmtId="43" fontId="14" fillId="7" borderId="14" xfId="2" applyFont="1" applyFill="1" applyBorder="1"/>
    <xf numFmtId="10" fontId="18" fillId="7" borderId="0" xfId="2" applyNumberFormat="1" applyFont="1" applyFill="1" applyBorder="1"/>
    <xf numFmtId="10" fontId="14" fillId="7" borderId="0" xfId="2" applyNumberFormat="1" applyFont="1" applyFill="1" applyBorder="1"/>
    <xf numFmtId="10" fontId="14" fillId="7" borderId="16" xfId="2" applyNumberFormat="1" applyFont="1" applyFill="1" applyBorder="1"/>
    <xf numFmtId="10" fontId="18" fillId="7" borderId="1" xfId="2" applyNumberFormat="1" applyFont="1" applyFill="1" applyBorder="1"/>
    <xf numFmtId="10" fontId="14" fillId="7" borderId="1" xfId="2" applyNumberFormat="1" applyFont="1" applyFill="1" applyBorder="1"/>
    <xf numFmtId="10" fontId="14" fillId="7" borderId="18" xfId="2" applyNumberFormat="1" applyFont="1" applyFill="1" applyBorder="1"/>
    <xf numFmtId="0" fontId="14" fillId="7" borderId="13" xfId="0" applyFont="1" applyFill="1" applyBorder="1"/>
    <xf numFmtId="0" fontId="14" fillId="7" borderId="8" xfId="0" applyFont="1" applyFill="1" applyBorder="1"/>
    <xf numFmtId="43" fontId="14" fillId="7" borderId="8" xfId="2" applyFont="1" applyFill="1" applyBorder="1"/>
    <xf numFmtId="43" fontId="18" fillId="7" borderId="8" xfId="2" applyFont="1" applyFill="1" applyBorder="1"/>
    <xf numFmtId="0" fontId="15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43" fontId="14" fillId="7" borderId="0" xfId="0" applyNumberFormat="1" applyFont="1" applyFill="1" applyBorder="1"/>
    <xf numFmtId="43" fontId="14" fillId="7" borderId="16" xfId="0" applyNumberFormat="1" applyFont="1" applyFill="1" applyBorder="1"/>
    <xf numFmtId="43" fontId="14" fillId="7" borderId="8" xfId="0" applyNumberFormat="1" applyFont="1" applyFill="1" applyBorder="1"/>
    <xf numFmtId="43" fontId="14" fillId="7" borderId="14" xfId="0" applyNumberFormat="1" applyFont="1" applyFill="1" applyBorder="1"/>
    <xf numFmtId="9" fontId="14" fillId="7" borderId="0" xfId="1" applyFont="1" applyFill="1" applyBorder="1"/>
    <xf numFmtId="9" fontId="14" fillId="7" borderId="16" xfId="1" applyFont="1" applyFill="1" applyBorder="1"/>
    <xf numFmtId="0" fontId="15" fillId="7" borderId="10" xfId="0" applyFont="1" applyFill="1" applyBorder="1"/>
    <xf numFmtId="43" fontId="15" fillId="7" borderId="10" xfId="2" applyFont="1" applyFill="1" applyBorder="1"/>
    <xf numFmtId="43" fontId="14" fillId="7" borderId="15" xfId="0" applyNumberFormat="1" applyFont="1" applyFill="1" applyBorder="1"/>
    <xf numFmtId="43" fontId="14" fillId="7" borderId="13" xfId="0" applyNumberFormat="1" applyFont="1" applyFill="1" applyBorder="1"/>
    <xf numFmtId="43" fontId="14" fillId="7" borderId="15" xfId="2" applyFont="1" applyFill="1" applyBorder="1"/>
    <xf numFmtId="43" fontId="14" fillId="7" borderId="17" xfId="2" applyFont="1" applyFill="1" applyBorder="1"/>
    <xf numFmtId="10" fontId="14" fillId="7" borderId="21" xfId="0" applyNumberFormat="1" applyFont="1" applyFill="1" applyBorder="1"/>
    <xf numFmtId="43" fontId="14" fillId="7" borderId="25" xfId="0" applyNumberFormat="1" applyFont="1" applyFill="1" applyBorder="1"/>
    <xf numFmtId="43" fontId="14" fillId="7" borderId="24" xfId="0" applyNumberFormat="1" applyFont="1" applyFill="1" applyBorder="1"/>
    <xf numFmtId="43" fontId="14" fillId="7" borderId="24" xfId="2" applyFont="1" applyFill="1" applyBorder="1"/>
    <xf numFmtId="43" fontId="14" fillId="7" borderId="23" xfId="2" applyFont="1" applyFill="1" applyBorder="1"/>
    <xf numFmtId="169" fontId="14" fillId="7" borderId="24" xfId="2" applyNumberFormat="1" applyFont="1" applyFill="1" applyBorder="1"/>
    <xf numFmtId="43" fontId="15" fillId="7" borderId="21" xfId="2" applyFont="1" applyFill="1" applyBorder="1"/>
    <xf numFmtId="10" fontId="18" fillId="7" borderId="25" xfId="0" applyNumberFormat="1" applyFont="1" applyFill="1" applyBorder="1"/>
    <xf numFmtId="10" fontId="18" fillId="7" borderId="24" xfId="0" applyNumberFormat="1" applyFont="1" applyFill="1" applyBorder="1"/>
    <xf numFmtId="0" fontId="18" fillId="7" borderId="24" xfId="0" applyFont="1" applyFill="1" applyBorder="1"/>
  </cellXfs>
  <cellStyles count="4">
    <cellStyle name="Comma" xfId="2" builtinId="3"/>
    <cellStyle name="Normal" xfId="0" builtinId="0"/>
    <cellStyle name="Normal 2" xfId="3" xr:uid="{D5F56BE9-B894-4734-9077-70C0B15AA8E0}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3" dropStyle="combo" dx="22" fmlaLink="$D$10" fmlaRange="$B$12:$B$14" noThreeD="1" sel="1" val="0"/>
</file>

<file path=xl/ctrlProps/ctrlProp2.xml><?xml version="1.0" encoding="utf-8"?>
<formControlPr xmlns="http://schemas.microsoft.com/office/spreadsheetml/2009/9/main" objectType="Drop" dropLines="3" dropStyle="combo" dx="22" fmlaLink="$D$16" fmlaRange="$B$18:$B$20" noThreeD="1" sel="1" val="0"/>
</file>

<file path=xl/ctrlProps/ctrlProp3.xml><?xml version="1.0" encoding="utf-8"?>
<formControlPr xmlns="http://schemas.microsoft.com/office/spreadsheetml/2009/9/main" objectType="Drop" dropLines="3" dropStyle="combo" dx="22" fmlaLink="$D$22" fmlaRange="$B$24:$B$26" noThreeD="1" sel="1" val="0"/>
</file>

<file path=xl/ctrlProps/ctrlProp4.xml><?xml version="1.0" encoding="utf-8"?>
<formControlPr xmlns="http://schemas.microsoft.com/office/spreadsheetml/2009/9/main" objectType="Drop" dropLines="3" dropStyle="combo" dx="22" fmlaLink="$D$28" fmlaRange="$B$30:$B$32" noThreeD="1" sel="1" val="0"/>
</file>

<file path=xl/ctrlProps/ctrlProp5.xml><?xml version="1.0" encoding="utf-8"?>
<formControlPr xmlns="http://schemas.microsoft.com/office/spreadsheetml/2009/9/main" objectType="Drop" dropLines="3" dropStyle="combo" dx="22" fmlaLink="$D$10" fmlaRange="$B$12:$B$14" noThreeD="1" sel="1" val="0"/>
</file>

<file path=xl/ctrlProps/ctrlProp6.xml><?xml version="1.0" encoding="utf-8"?>
<formControlPr xmlns="http://schemas.microsoft.com/office/spreadsheetml/2009/9/main" objectType="Drop" dropLines="3" dropStyle="combo" dx="22" fmlaLink="$D$16" fmlaRange="$B$18:$B$20" noThreeD="1" sel="1" val="0"/>
</file>

<file path=xl/ctrlProps/ctrlProp7.xml><?xml version="1.0" encoding="utf-8"?>
<formControlPr xmlns="http://schemas.microsoft.com/office/spreadsheetml/2009/9/main" objectType="Drop" dropLines="3" dropStyle="combo" dx="22" fmlaLink="$D$22" fmlaRange="$B$24:$B$26" noThreeD="1" sel="1" val="0"/>
</file>

<file path=xl/ctrlProps/ctrlProp8.xml><?xml version="1.0" encoding="utf-8"?>
<formControlPr xmlns="http://schemas.microsoft.com/office/spreadsheetml/2009/9/main" objectType="Drop" dropLines="3" dropStyle="combo" dx="22" fmlaLink="$D$28" fmlaRange="$B$30:$B$32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4572000</xdr:colOff>
          <xdr:row>9</xdr:row>
          <xdr:rowOff>0</xdr:rowOff>
        </xdr:from>
        <xdr:to>
          <xdr:col>4</xdr:col>
          <xdr:colOff>209550</xdr:colOff>
          <xdr:row>78</xdr:row>
          <xdr:rowOff>9525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180975</xdr:rowOff>
        </xdr:from>
        <xdr:to>
          <xdr:col>4</xdr:col>
          <xdr:colOff>180975</xdr:colOff>
          <xdr:row>78</xdr:row>
          <xdr:rowOff>9525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4</xdr:col>
          <xdr:colOff>209550</xdr:colOff>
          <xdr:row>78</xdr:row>
          <xdr:rowOff>9525</xdr:rowOff>
        </xdr:to>
        <xdr:sp macro="" textlink="">
          <xdr:nvSpPr>
            <xdr:cNvPr id="4099" name="Drop Dow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26</xdr:row>
          <xdr:rowOff>180975</xdr:rowOff>
        </xdr:from>
        <xdr:to>
          <xdr:col>4</xdr:col>
          <xdr:colOff>200025</xdr:colOff>
          <xdr:row>78</xdr:row>
          <xdr:rowOff>19050</xdr:rowOff>
        </xdr:to>
        <xdr:sp macro="" textlink="">
          <xdr:nvSpPr>
            <xdr:cNvPr id="4100" name="Drop Dow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4572000</xdr:colOff>
          <xdr:row>9</xdr:row>
          <xdr:rowOff>0</xdr:rowOff>
        </xdr:from>
        <xdr:to>
          <xdr:col>4</xdr:col>
          <xdr:colOff>209550</xdr:colOff>
          <xdr:row>78</xdr:row>
          <xdr:rowOff>9525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2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180975</xdr:rowOff>
        </xdr:from>
        <xdr:to>
          <xdr:col>4</xdr:col>
          <xdr:colOff>180975</xdr:colOff>
          <xdr:row>78</xdr:row>
          <xdr:rowOff>9525</xdr:rowOff>
        </xdr:to>
        <xdr:sp macro="" textlink="">
          <xdr:nvSpPr>
            <xdr:cNvPr id="8194" name="Drop Dow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2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4</xdr:col>
          <xdr:colOff>209550</xdr:colOff>
          <xdr:row>78</xdr:row>
          <xdr:rowOff>9525</xdr:rowOff>
        </xdr:to>
        <xdr:sp macro="" textlink="">
          <xdr:nvSpPr>
            <xdr:cNvPr id="8195" name="Drop Down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2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26</xdr:row>
          <xdr:rowOff>180975</xdr:rowOff>
        </xdr:from>
        <xdr:to>
          <xdr:col>4</xdr:col>
          <xdr:colOff>200025</xdr:colOff>
          <xdr:row>78</xdr:row>
          <xdr:rowOff>19050</xdr:rowOff>
        </xdr:to>
        <xdr:sp macro="" textlink="">
          <xdr:nvSpPr>
            <xdr:cNvPr id="8196" name="Drop Down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2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E8BA-E584-4F99-ABAE-39DE22CFA15F}">
  <dimension ref="A1:U658"/>
  <sheetViews>
    <sheetView tabSelected="1" topLeftCell="A573" zoomScaleNormal="100" workbookViewId="0">
      <selection activeCell="F607" sqref="F607"/>
    </sheetView>
  </sheetViews>
  <sheetFormatPr defaultRowHeight="15" outlineLevelRow="2" x14ac:dyDescent="0.25"/>
  <cols>
    <col min="1" max="2" width="4.7109375" customWidth="1"/>
    <col min="3" max="3" width="68.5703125" bestFit="1" customWidth="1"/>
    <col min="4" max="4" width="9.28515625" bestFit="1" customWidth="1"/>
    <col min="5" max="5" width="11.7109375" bestFit="1" customWidth="1"/>
    <col min="6" max="6" width="12.28515625" bestFit="1" customWidth="1"/>
    <col min="7" max="9" width="12.85546875" bestFit="1" customWidth="1"/>
    <col min="10" max="10" width="14.5703125" bestFit="1" customWidth="1"/>
    <col min="11" max="11" width="17" bestFit="1" customWidth="1"/>
    <col min="12" max="15" width="13.42578125" bestFit="1" customWidth="1"/>
  </cols>
  <sheetData>
    <row r="1" spans="1:15" ht="15.75" thickBot="1" x14ac:dyDescent="0.3">
      <c r="B1" s="56"/>
      <c r="C1" s="229" t="s">
        <v>414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5" ht="25.5" x14ac:dyDescent="0.35">
      <c r="A2" s="176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/>
    </row>
    <row r="3" spans="1:15" ht="26.25" thickBot="1" x14ac:dyDescent="0.4">
      <c r="A3" s="177" t="s">
        <v>1</v>
      </c>
      <c r="B3" s="59"/>
      <c r="C3" s="59"/>
      <c r="D3" s="59"/>
      <c r="E3" s="59"/>
      <c r="F3" s="60"/>
      <c r="G3" s="60"/>
      <c r="H3" s="60"/>
      <c r="I3" s="60"/>
      <c r="J3" s="60"/>
      <c r="K3" s="60"/>
      <c r="L3" s="60"/>
      <c r="M3" s="60"/>
      <c r="N3" s="60"/>
      <c r="O3" s="61"/>
    </row>
    <row r="4" spans="1:15" ht="15.75" x14ac:dyDescent="0.25">
      <c r="A4" s="1"/>
      <c r="B4" s="62"/>
      <c r="C4" s="62"/>
      <c r="D4" s="62"/>
      <c r="E4" s="62"/>
      <c r="F4" s="56"/>
      <c r="G4" s="56"/>
      <c r="H4" s="56"/>
      <c r="I4" s="56"/>
      <c r="J4" s="56"/>
      <c r="K4" s="56"/>
      <c r="L4" s="56"/>
      <c r="M4" s="56"/>
      <c r="N4" s="56"/>
      <c r="O4" s="56"/>
    </row>
    <row r="5" spans="1:15" ht="15.75" hidden="1" outlineLevel="1" x14ac:dyDescent="0.25">
      <c r="A5" s="1"/>
      <c r="B5" s="56" t="s">
        <v>2</v>
      </c>
      <c r="C5" s="56"/>
      <c r="D5" s="56">
        <v>2026</v>
      </c>
      <c r="E5" s="56"/>
      <c r="F5" s="56"/>
      <c r="G5" s="56"/>
      <c r="H5" s="56"/>
      <c r="I5" s="56"/>
      <c r="J5" s="56"/>
      <c r="K5" s="68">
        <f>$D$5</f>
        <v>2026</v>
      </c>
      <c r="L5" s="68">
        <f>K5+1</f>
        <v>2027</v>
      </c>
      <c r="M5" s="68">
        <f>L5+1</f>
        <v>2028</v>
      </c>
      <c r="N5" s="68">
        <f>M5+1</f>
        <v>2029</v>
      </c>
      <c r="O5" s="68">
        <f>N5+1</f>
        <v>2030</v>
      </c>
    </row>
    <row r="6" spans="1:15" ht="15.75" hidden="1" outlineLevel="1" x14ac:dyDescent="0.25">
      <c r="A6" s="1"/>
      <c r="B6" s="56"/>
      <c r="C6" s="56" t="s">
        <v>171</v>
      </c>
      <c r="D6" s="69">
        <v>0.05</v>
      </c>
      <c r="E6" s="56"/>
      <c r="F6" s="56"/>
      <c r="G6" s="56"/>
      <c r="H6" s="56"/>
      <c r="I6" s="56"/>
      <c r="J6" s="56"/>
      <c r="K6" s="70"/>
      <c r="L6" s="70"/>
      <c r="M6" s="70"/>
      <c r="N6" s="70"/>
      <c r="O6" s="70"/>
    </row>
    <row r="7" spans="1:15" ht="15.75" hidden="1" outlineLevel="1" x14ac:dyDescent="0.25">
      <c r="A7" s="1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</row>
    <row r="8" spans="1:15" hidden="1" outlineLevel="1" x14ac:dyDescent="0.25">
      <c r="B8" s="72" t="s">
        <v>415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</row>
    <row r="9" spans="1:15" hidden="1" outlineLevel="1" x14ac:dyDescent="0.25"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</row>
    <row r="10" spans="1:15" hidden="1" outlineLevel="1" x14ac:dyDescent="0.25">
      <c r="B10" s="230" t="s">
        <v>111</v>
      </c>
      <c r="C10" s="231"/>
      <c r="D10" s="231">
        <v>1</v>
      </c>
      <c r="E10" s="231"/>
      <c r="F10" s="231"/>
      <c r="G10" s="231"/>
      <c r="H10" s="231"/>
      <c r="I10" s="231"/>
      <c r="J10" s="231"/>
      <c r="K10" s="232">
        <f>CHOOSE($D$10,K12,K13,K14)</f>
        <v>0.11</v>
      </c>
      <c r="L10" s="233">
        <f>CHOOSE($D$10,L12,L13,L14)</f>
        <v>0.1</v>
      </c>
      <c r="M10" s="233">
        <f>CHOOSE($D$10,M12,M13,M14)</f>
        <v>0.1</v>
      </c>
      <c r="N10" s="233">
        <f>CHOOSE($D$10,N12,N13,N14)</f>
        <v>0.1</v>
      </c>
      <c r="O10" s="234">
        <f>CHOOSE($D$10,O12,O13,O14)</f>
        <v>0.1</v>
      </c>
    </row>
    <row r="11" spans="1:15" hidden="1" outlineLevel="1" x14ac:dyDescent="0.25">
      <c r="B11" s="235"/>
      <c r="C11" s="236"/>
      <c r="D11" s="236"/>
      <c r="E11" s="236"/>
      <c r="F11" s="236"/>
      <c r="G11" s="236"/>
      <c r="H11" s="236"/>
      <c r="I11" s="236"/>
      <c r="J11" s="236"/>
      <c r="K11" s="235"/>
      <c r="L11" s="236"/>
      <c r="M11" s="236"/>
      <c r="N11" s="236"/>
      <c r="O11" s="237"/>
    </row>
    <row r="12" spans="1:15" hidden="1" outlineLevel="1" x14ac:dyDescent="0.25">
      <c r="B12" s="235" t="s">
        <v>4</v>
      </c>
      <c r="C12" s="236"/>
      <c r="D12" s="236"/>
      <c r="E12" s="236"/>
      <c r="F12" s="236"/>
      <c r="G12" s="236"/>
      <c r="H12" s="236"/>
      <c r="I12" s="236"/>
      <c r="J12" s="236"/>
      <c r="K12" s="238">
        <v>0.11</v>
      </c>
      <c r="L12" s="239">
        <v>0.1</v>
      </c>
      <c r="M12" s="240">
        <v>0.1</v>
      </c>
      <c r="N12" s="240">
        <v>0.1</v>
      </c>
      <c r="O12" s="241">
        <v>0.1</v>
      </c>
    </row>
    <row r="13" spans="1:15" hidden="1" outlineLevel="1" x14ac:dyDescent="0.25">
      <c r="B13" s="235" t="s">
        <v>5</v>
      </c>
      <c r="C13" s="236"/>
      <c r="D13" s="236"/>
      <c r="E13" s="236"/>
      <c r="F13" s="236"/>
      <c r="G13" s="236"/>
      <c r="H13" s="236"/>
      <c r="I13" s="236"/>
      <c r="J13" s="236"/>
      <c r="K13" s="238">
        <v>0.14000000000000001</v>
      </c>
      <c r="L13" s="240">
        <v>0.13</v>
      </c>
      <c r="M13" s="240">
        <v>0.13</v>
      </c>
      <c r="N13" s="240">
        <v>0.13</v>
      </c>
      <c r="O13" s="241">
        <v>0.13</v>
      </c>
    </row>
    <row r="14" spans="1:15" hidden="1" outlineLevel="1" x14ac:dyDescent="0.25">
      <c r="B14" s="242" t="s">
        <v>6</v>
      </c>
      <c r="C14" s="243"/>
      <c r="D14" s="243"/>
      <c r="E14" s="243"/>
      <c r="F14" s="243"/>
      <c r="G14" s="243"/>
      <c r="H14" s="243"/>
      <c r="I14" s="243"/>
      <c r="J14" s="243"/>
      <c r="K14" s="244">
        <v>0.08</v>
      </c>
      <c r="L14" s="245">
        <v>0.08</v>
      </c>
      <c r="M14" s="245">
        <v>7.0000000000000007E-2</v>
      </c>
      <c r="N14" s="245">
        <v>7.0000000000000007E-2</v>
      </c>
      <c r="O14" s="246">
        <v>7.0000000000000007E-2</v>
      </c>
    </row>
    <row r="15" spans="1:15" hidden="1" outlineLevel="1" x14ac:dyDescent="0.25"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</row>
    <row r="16" spans="1:15" hidden="1" outlineLevel="1" x14ac:dyDescent="0.25">
      <c r="B16" s="230" t="s">
        <v>115</v>
      </c>
      <c r="C16" s="231"/>
      <c r="D16" s="231">
        <v>1</v>
      </c>
      <c r="E16" s="231"/>
      <c r="F16" s="231"/>
      <c r="G16" s="231"/>
      <c r="H16" s="231"/>
      <c r="I16" s="231"/>
      <c r="J16" s="231"/>
      <c r="K16" s="232">
        <f>CHOOSE($D$16,K18,K19,K20)</f>
        <v>0.3</v>
      </c>
      <c r="L16" s="233">
        <f>CHOOSE($D$16,L18,L19,L20)</f>
        <v>0.15</v>
      </c>
      <c r="M16" s="233">
        <f>CHOOSE($D$16,M18,M19,M20)</f>
        <v>0.15</v>
      </c>
      <c r="N16" s="233">
        <f>CHOOSE($D$16,N18,N19,N20)</f>
        <v>0.15</v>
      </c>
      <c r="O16" s="234">
        <f>CHOOSE($D$16,O18,O19,O20)</f>
        <v>0.15</v>
      </c>
    </row>
    <row r="17" spans="2:15" hidden="1" outlineLevel="1" x14ac:dyDescent="0.25">
      <c r="B17" s="235"/>
      <c r="C17" s="236"/>
      <c r="D17" s="236"/>
      <c r="E17" s="236"/>
      <c r="F17" s="236"/>
      <c r="G17" s="236"/>
      <c r="H17" s="236"/>
      <c r="I17" s="236"/>
      <c r="J17" s="236"/>
      <c r="K17" s="235"/>
      <c r="L17" s="236"/>
      <c r="M17" s="236"/>
      <c r="N17" s="236"/>
      <c r="O17" s="237"/>
    </row>
    <row r="18" spans="2:15" hidden="1" outlineLevel="1" x14ac:dyDescent="0.25">
      <c r="B18" s="235" t="s">
        <v>4</v>
      </c>
      <c r="C18" s="236"/>
      <c r="D18" s="236"/>
      <c r="E18" s="236"/>
      <c r="F18" s="236"/>
      <c r="G18" s="236"/>
      <c r="H18" s="236"/>
      <c r="I18" s="236"/>
      <c r="J18" s="236"/>
      <c r="K18" s="238">
        <v>0.3</v>
      </c>
      <c r="L18" s="240">
        <v>0.15</v>
      </c>
      <c r="M18" s="240">
        <v>0.15</v>
      </c>
      <c r="N18" s="240">
        <v>0.15</v>
      </c>
      <c r="O18" s="241">
        <v>0.15</v>
      </c>
    </row>
    <row r="19" spans="2:15" hidden="1" outlineLevel="1" x14ac:dyDescent="0.25">
      <c r="B19" s="235" t="s">
        <v>5</v>
      </c>
      <c r="C19" s="236"/>
      <c r="D19" s="236"/>
      <c r="E19" s="236"/>
      <c r="F19" s="236"/>
      <c r="G19" s="236"/>
      <c r="H19" s="236"/>
      <c r="I19" s="236"/>
      <c r="J19" s="236"/>
      <c r="K19" s="238">
        <v>0.35</v>
      </c>
      <c r="L19" s="240">
        <v>0.2</v>
      </c>
      <c r="M19" s="240">
        <v>0.2</v>
      </c>
      <c r="N19" s="240">
        <v>0.2</v>
      </c>
      <c r="O19" s="241">
        <v>0.2</v>
      </c>
    </row>
    <row r="20" spans="2:15" hidden="1" outlineLevel="1" x14ac:dyDescent="0.25">
      <c r="B20" s="242" t="s">
        <v>6</v>
      </c>
      <c r="C20" s="243"/>
      <c r="D20" s="243"/>
      <c r="E20" s="243"/>
      <c r="F20" s="243"/>
      <c r="G20" s="243"/>
      <c r="H20" s="243"/>
      <c r="I20" s="243"/>
      <c r="J20" s="243"/>
      <c r="K20" s="244">
        <v>0.25</v>
      </c>
      <c r="L20" s="245">
        <v>0.1</v>
      </c>
      <c r="M20" s="245">
        <v>0.1</v>
      </c>
      <c r="N20" s="245">
        <v>0.1</v>
      </c>
      <c r="O20" s="246">
        <v>0.1</v>
      </c>
    </row>
    <row r="21" spans="2:15" hidden="1" outlineLevel="1" x14ac:dyDescent="0.25"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</row>
    <row r="22" spans="2:15" hidden="1" outlineLevel="1" x14ac:dyDescent="0.25">
      <c r="B22" s="230" t="s">
        <v>122</v>
      </c>
      <c r="C22" s="231"/>
      <c r="D22" s="231">
        <v>1</v>
      </c>
      <c r="E22" s="231"/>
      <c r="F22" s="231"/>
      <c r="G22" s="231"/>
      <c r="H22" s="231"/>
      <c r="I22" s="231"/>
      <c r="J22" s="231"/>
      <c r="K22" s="247">
        <f>CHOOSE($D$22,K24,K25,K26)</f>
        <v>5.0000000000000001E-3</v>
      </c>
      <c r="L22" s="248">
        <f>CHOOSE($D$22,L24,L25,L26)</f>
        <v>1.4999999999999999E-2</v>
      </c>
      <c r="M22" s="248">
        <f>CHOOSE($D$22,M24,M25,M26)</f>
        <v>0.02</v>
      </c>
      <c r="N22" s="248">
        <f>CHOOSE($D$22,N24,N25,N26)</f>
        <v>2.5000000000000001E-2</v>
      </c>
      <c r="O22" s="249">
        <f>CHOOSE($D$22,O24,O25,O26)</f>
        <v>2.5000000000000001E-2</v>
      </c>
    </row>
    <row r="23" spans="2:15" hidden="1" outlineLevel="1" x14ac:dyDescent="0.25">
      <c r="B23" s="235"/>
      <c r="C23" s="236"/>
      <c r="D23" s="236"/>
      <c r="E23" s="236"/>
      <c r="F23" s="236"/>
      <c r="G23" s="236"/>
      <c r="H23" s="236"/>
      <c r="I23" s="236"/>
      <c r="J23" s="236"/>
      <c r="K23" s="235"/>
      <c r="L23" s="236"/>
      <c r="M23" s="236"/>
      <c r="N23" s="236"/>
      <c r="O23" s="237"/>
    </row>
    <row r="24" spans="2:15" hidden="1" outlineLevel="1" x14ac:dyDescent="0.25">
      <c r="B24" s="235" t="s">
        <v>4</v>
      </c>
      <c r="C24" s="236"/>
      <c r="D24" s="236"/>
      <c r="E24" s="236"/>
      <c r="F24" s="236"/>
      <c r="G24" s="236"/>
      <c r="H24" s="236"/>
      <c r="I24" s="236"/>
      <c r="J24" s="236"/>
      <c r="K24" s="250">
        <v>5.0000000000000001E-3</v>
      </c>
      <c r="L24" s="251">
        <v>1.4999999999999999E-2</v>
      </c>
      <c r="M24" s="251">
        <v>0.02</v>
      </c>
      <c r="N24" s="251">
        <v>2.5000000000000001E-2</v>
      </c>
      <c r="O24" s="252">
        <v>2.5000000000000001E-2</v>
      </c>
    </row>
    <row r="25" spans="2:15" hidden="1" outlineLevel="1" x14ac:dyDescent="0.25">
      <c r="B25" s="235" t="s">
        <v>5</v>
      </c>
      <c r="C25" s="236"/>
      <c r="D25" s="236"/>
      <c r="E25" s="236"/>
      <c r="F25" s="236"/>
      <c r="G25" s="236"/>
      <c r="H25" s="236"/>
      <c r="I25" s="236"/>
      <c r="J25" s="236"/>
      <c r="K25" s="250">
        <v>0.02</v>
      </c>
      <c r="L25" s="251">
        <v>0.03</v>
      </c>
      <c r="M25" s="251">
        <v>0.04</v>
      </c>
      <c r="N25" s="251">
        <v>0.04</v>
      </c>
      <c r="O25" s="252">
        <v>0.04</v>
      </c>
    </row>
    <row r="26" spans="2:15" hidden="1" outlineLevel="1" x14ac:dyDescent="0.25">
      <c r="B26" s="242" t="s">
        <v>6</v>
      </c>
      <c r="C26" s="243"/>
      <c r="D26" s="243"/>
      <c r="E26" s="243"/>
      <c r="F26" s="243"/>
      <c r="G26" s="243"/>
      <c r="H26" s="243"/>
      <c r="I26" s="243"/>
      <c r="J26" s="243"/>
      <c r="K26" s="253">
        <v>-1.4999999999999999E-2</v>
      </c>
      <c r="L26" s="254">
        <v>-5.0000000000000001E-3</v>
      </c>
      <c r="M26" s="254">
        <v>5.0000000000000001E-3</v>
      </c>
      <c r="N26" s="254">
        <v>0.01</v>
      </c>
      <c r="O26" s="255">
        <v>0.01</v>
      </c>
    </row>
    <row r="27" spans="2:15" hidden="1" outlineLevel="1" x14ac:dyDescent="0.25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</row>
    <row r="28" spans="2:15" hidden="1" outlineLevel="1" x14ac:dyDescent="0.25">
      <c r="B28" s="230" t="s">
        <v>123</v>
      </c>
      <c r="C28" s="231"/>
      <c r="D28" s="231">
        <v>1</v>
      </c>
      <c r="E28" s="231"/>
      <c r="F28" s="231"/>
      <c r="G28" s="231"/>
      <c r="H28" s="231"/>
      <c r="I28" s="231"/>
      <c r="J28" s="231"/>
      <c r="K28" s="247">
        <f>CHOOSE($D$28,K30,K31,K32)</f>
        <v>0.06</v>
      </c>
      <c r="L28" s="248">
        <f>CHOOSE($D$28,L30,L31,L32)</f>
        <v>2.5000000000000001E-2</v>
      </c>
      <c r="M28" s="248">
        <f>CHOOSE($D$28,M30,M31,M32)</f>
        <v>2.5000000000000001E-2</v>
      </c>
      <c r="N28" s="248">
        <f>CHOOSE($D$28,N30,N31,N32)</f>
        <v>2.5000000000000001E-2</v>
      </c>
      <c r="O28" s="249">
        <f>CHOOSE($D$28,O30,O31,O32)</f>
        <v>2.5000000000000001E-2</v>
      </c>
    </row>
    <row r="29" spans="2:15" hidden="1" outlineLevel="1" x14ac:dyDescent="0.25">
      <c r="B29" s="235"/>
      <c r="C29" s="236"/>
      <c r="D29" s="236"/>
      <c r="E29" s="236"/>
      <c r="F29" s="236"/>
      <c r="G29" s="236"/>
      <c r="H29" s="236"/>
      <c r="I29" s="236"/>
      <c r="J29" s="236"/>
      <c r="K29" s="230"/>
      <c r="L29" s="236"/>
      <c r="M29" s="236"/>
      <c r="N29" s="236"/>
      <c r="O29" s="237"/>
    </row>
    <row r="30" spans="2:15" hidden="1" outlineLevel="1" x14ac:dyDescent="0.25">
      <c r="B30" s="235" t="s">
        <v>4</v>
      </c>
      <c r="C30" s="236"/>
      <c r="D30" s="236"/>
      <c r="E30" s="236"/>
      <c r="F30" s="236"/>
      <c r="G30" s="236"/>
      <c r="H30" s="236"/>
      <c r="I30" s="236"/>
      <c r="J30" s="236"/>
      <c r="K30" s="256">
        <v>0.06</v>
      </c>
      <c r="L30" s="257">
        <v>2.5000000000000001E-2</v>
      </c>
      <c r="M30" s="257">
        <v>2.5000000000000001E-2</v>
      </c>
      <c r="N30" s="257">
        <v>2.5000000000000001E-2</v>
      </c>
      <c r="O30" s="258">
        <v>2.5000000000000001E-2</v>
      </c>
    </row>
    <row r="31" spans="2:15" hidden="1" outlineLevel="1" x14ac:dyDescent="0.25">
      <c r="B31" s="235" t="s">
        <v>5</v>
      </c>
      <c r="C31" s="236"/>
      <c r="D31" s="236"/>
      <c r="E31" s="236"/>
      <c r="F31" s="236"/>
      <c r="G31" s="236"/>
      <c r="H31" s="236"/>
      <c r="I31" s="236"/>
      <c r="J31" s="236"/>
      <c r="K31" s="250">
        <v>0.09</v>
      </c>
      <c r="L31" s="251">
        <v>4.4999999999999998E-2</v>
      </c>
      <c r="M31" s="251">
        <v>0.04</v>
      </c>
      <c r="N31" s="251">
        <v>0.04</v>
      </c>
      <c r="O31" s="252">
        <v>0.04</v>
      </c>
    </row>
    <row r="32" spans="2:15" hidden="1" outlineLevel="1" x14ac:dyDescent="0.25">
      <c r="B32" s="242" t="s">
        <v>6</v>
      </c>
      <c r="C32" s="243"/>
      <c r="D32" s="243"/>
      <c r="E32" s="243"/>
      <c r="F32" s="243"/>
      <c r="G32" s="243"/>
      <c r="H32" s="243"/>
      <c r="I32" s="243"/>
      <c r="J32" s="243"/>
      <c r="K32" s="253">
        <v>0.01</v>
      </c>
      <c r="L32" s="254">
        <v>0</v>
      </c>
      <c r="M32" s="254">
        <v>0.01</v>
      </c>
      <c r="N32" s="259">
        <v>1.4999999999999999E-2</v>
      </c>
      <c r="O32" s="260">
        <v>1.4999999999999999E-2</v>
      </c>
    </row>
    <row r="33" spans="2:15" hidden="1" outlineLevel="1" x14ac:dyDescent="0.25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</row>
    <row r="34" spans="2:15" hidden="1" outlineLevel="1" x14ac:dyDescent="0.25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</row>
    <row r="35" spans="2:15" hidden="1" outlineLevel="1" x14ac:dyDescent="0.25">
      <c r="B35" s="261" t="s">
        <v>118</v>
      </c>
      <c r="C35" s="231"/>
      <c r="D35" s="231"/>
      <c r="E35" s="231"/>
      <c r="F35" s="231"/>
      <c r="G35" s="231"/>
      <c r="H35" s="231"/>
      <c r="I35" s="231"/>
      <c r="J35" s="231"/>
      <c r="K35" s="231"/>
      <c r="L35" s="231"/>
      <c r="M35" s="231"/>
      <c r="N35" s="231"/>
      <c r="O35" s="262"/>
    </row>
    <row r="36" spans="2:15" hidden="1" outlineLevel="1" x14ac:dyDescent="0.25">
      <c r="B36" s="235"/>
      <c r="C36" s="236" t="s">
        <v>125</v>
      </c>
      <c r="D36" s="236" t="s">
        <v>117</v>
      </c>
      <c r="E36" s="236"/>
      <c r="F36" s="236"/>
      <c r="G36" s="236"/>
      <c r="H36" s="236"/>
      <c r="I36" s="236"/>
      <c r="J36" s="236"/>
      <c r="K36" s="263">
        <f>K10</f>
        <v>0.11</v>
      </c>
      <c r="L36" s="263">
        <f>L10</f>
        <v>0.1</v>
      </c>
      <c r="M36" s="263">
        <f>M10</f>
        <v>0.1</v>
      </c>
      <c r="N36" s="263">
        <f>N10</f>
        <v>0.1</v>
      </c>
      <c r="O36" s="264">
        <f>O10</f>
        <v>0.1</v>
      </c>
    </row>
    <row r="37" spans="2:15" hidden="1" outlineLevel="1" x14ac:dyDescent="0.25">
      <c r="B37" s="235"/>
      <c r="C37" s="236" t="s">
        <v>124</v>
      </c>
      <c r="D37" s="236" t="s">
        <v>117</v>
      </c>
      <c r="E37" s="236"/>
      <c r="F37" s="236"/>
      <c r="G37" s="236"/>
      <c r="H37" s="236"/>
      <c r="I37" s="236"/>
      <c r="J37" s="236"/>
      <c r="K37" s="265">
        <f>K22</f>
        <v>5.0000000000000001E-3</v>
      </c>
      <c r="L37" s="265">
        <f>L22</f>
        <v>1.4999999999999999E-2</v>
      </c>
      <c r="M37" s="265">
        <f>M22</f>
        <v>0.02</v>
      </c>
      <c r="N37" s="265">
        <f>N22</f>
        <v>2.5000000000000001E-2</v>
      </c>
      <c r="O37" s="266">
        <f>O22</f>
        <v>2.5000000000000001E-2</v>
      </c>
    </row>
    <row r="38" spans="2:15" hidden="1" outlineLevel="1" x14ac:dyDescent="0.25">
      <c r="B38" s="242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67"/>
    </row>
    <row r="39" spans="2:15" hidden="1" outlineLevel="1" x14ac:dyDescent="0.25">
      <c r="B39" s="268" t="s">
        <v>119</v>
      </c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67"/>
    </row>
    <row r="40" spans="2:15" hidden="1" outlineLevel="1" x14ac:dyDescent="0.25">
      <c r="B40" s="235"/>
      <c r="C40" s="236" t="s">
        <v>116</v>
      </c>
      <c r="D40" s="236" t="s">
        <v>117</v>
      </c>
      <c r="E40" s="236"/>
      <c r="F40" s="236"/>
      <c r="G40" s="236"/>
      <c r="H40" s="236"/>
      <c r="I40" s="236"/>
      <c r="J40" s="236"/>
      <c r="K40" s="263">
        <f>K16</f>
        <v>0.3</v>
      </c>
      <c r="L40" s="263">
        <f>L16</f>
        <v>0.15</v>
      </c>
      <c r="M40" s="263">
        <f>M16</f>
        <v>0.15</v>
      </c>
      <c r="N40" s="263">
        <f>N16</f>
        <v>0.15</v>
      </c>
      <c r="O40" s="264">
        <f>O16</f>
        <v>0.15</v>
      </c>
    </row>
    <row r="41" spans="2:15" hidden="1" outlineLevel="1" x14ac:dyDescent="0.25">
      <c r="B41" s="235"/>
      <c r="C41" s="236" t="s">
        <v>124</v>
      </c>
      <c r="D41" s="236" t="s">
        <v>117</v>
      </c>
      <c r="E41" s="236"/>
      <c r="F41" s="236"/>
      <c r="G41" s="236"/>
      <c r="H41" s="236"/>
      <c r="I41" s="236"/>
      <c r="J41" s="236"/>
      <c r="K41" s="265">
        <f>K28</f>
        <v>0.06</v>
      </c>
      <c r="L41" s="265">
        <f>L28</f>
        <v>2.5000000000000001E-2</v>
      </c>
      <c r="M41" s="265">
        <f>M28</f>
        <v>2.5000000000000001E-2</v>
      </c>
      <c r="N41" s="265">
        <f>N28</f>
        <v>2.5000000000000001E-2</v>
      </c>
      <c r="O41" s="266">
        <f>O28</f>
        <v>2.5000000000000001E-2</v>
      </c>
    </row>
    <row r="42" spans="2:15" hidden="1" outlineLevel="1" x14ac:dyDescent="0.25">
      <c r="B42" s="242"/>
      <c r="C42" s="243" t="s">
        <v>132</v>
      </c>
      <c r="D42" s="243" t="s">
        <v>117</v>
      </c>
      <c r="E42" s="243"/>
      <c r="F42" s="243"/>
      <c r="G42" s="243"/>
      <c r="H42" s="243"/>
      <c r="I42" s="243"/>
      <c r="J42" s="243"/>
      <c r="K42" s="269">
        <f>$J$246</f>
        <v>7.7229312807707035E-2</v>
      </c>
      <c r="L42" s="269">
        <f>$J$246</f>
        <v>7.7229312807707035E-2</v>
      </c>
      <c r="M42" s="269">
        <f>$J$246</f>
        <v>7.7229312807707035E-2</v>
      </c>
      <c r="N42" s="269">
        <f>$J$246</f>
        <v>7.7229312807707035E-2</v>
      </c>
      <c r="O42" s="270">
        <f>$J$246</f>
        <v>7.7229312807707035E-2</v>
      </c>
    </row>
    <row r="43" spans="2:15" hidden="1" outlineLevel="1" x14ac:dyDescent="0.25"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</row>
    <row r="44" spans="2:15" hidden="1" outlineLevel="1" x14ac:dyDescent="0.25"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</row>
    <row r="45" spans="2:15" hidden="1" outlineLevel="1" x14ac:dyDescent="0.25">
      <c r="B45" s="261" t="s">
        <v>133</v>
      </c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  <c r="O45" s="262"/>
    </row>
    <row r="46" spans="2:15" hidden="1" outlineLevel="1" x14ac:dyDescent="0.25">
      <c r="B46" s="235"/>
      <c r="C46" s="236" t="s">
        <v>137</v>
      </c>
      <c r="D46" s="236" t="s">
        <v>117</v>
      </c>
      <c r="E46" s="236"/>
      <c r="F46" s="236"/>
      <c r="G46" s="236"/>
      <c r="H46" s="236"/>
      <c r="I46" s="236"/>
      <c r="J46" s="236"/>
      <c r="K46" s="271">
        <f>$J$258</f>
        <v>0.44400923075909093</v>
      </c>
      <c r="L46" s="271">
        <f>$J$258</f>
        <v>0.44400923075909093</v>
      </c>
      <c r="M46" s="271">
        <f>$J$258</f>
        <v>0.44400923075909093</v>
      </c>
      <c r="N46" s="271">
        <f>$J$258</f>
        <v>0.44400923075909093</v>
      </c>
      <c r="O46" s="272">
        <f>$J$258</f>
        <v>0.44400923075909093</v>
      </c>
    </row>
    <row r="47" spans="2:15" hidden="1" outlineLevel="1" x14ac:dyDescent="0.25">
      <c r="B47" s="242"/>
      <c r="C47" s="243" t="s">
        <v>138</v>
      </c>
      <c r="D47" s="243" t="s">
        <v>117</v>
      </c>
      <c r="E47" s="243"/>
      <c r="F47" s="243"/>
      <c r="G47" s="243"/>
      <c r="H47" s="243"/>
      <c r="I47" s="243"/>
      <c r="J47" s="243"/>
      <c r="K47" s="269">
        <f>$J$263</f>
        <v>0.22556760627180639</v>
      </c>
      <c r="L47" s="269">
        <f>$J$263</f>
        <v>0.22556760627180639</v>
      </c>
      <c r="M47" s="269">
        <f>$J$263</f>
        <v>0.22556760627180639</v>
      </c>
      <c r="N47" s="269">
        <f>$J$263</f>
        <v>0.22556760627180639</v>
      </c>
      <c r="O47" s="270">
        <f>$J$263</f>
        <v>0.22556760627180639</v>
      </c>
    </row>
    <row r="48" spans="2:15" hidden="1" outlineLevel="1" x14ac:dyDescent="0.25">
      <c r="B48" s="79"/>
      <c r="C48" s="79"/>
      <c r="D48" s="79"/>
      <c r="E48" s="79"/>
      <c r="F48" s="79"/>
      <c r="G48" s="79"/>
      <c r="H48" s="79"/>
      <c r="I48" s="79"/>
      <c r="J48" s="79"/>
      <c r="K48" s="118"/>
      <c r="L48" s="118"/>
      <c r="M48" s="118"/>
      <c r="N48" s="118"/>
      <c r="O48" s="118"/>
    </row>
    <row r="49" spans="2:16" hidden="1" outlineLevel="1" x14ac:dyDescent="0.25">
      <c r="B49" s="79"/>
      <c r="C49" s="79"/>
      <c r="D49" s="79"/>
      <c r="E49" s="79"/>
      <c r="F49" s="79"/>
      <c r="G49" s="79"/>
      <c r="H49" s="79"/>
      <c r="I49" s="79"/>
      <c r="J49" s="79"/>
      <c r="K49" s="118"/>
      <c r="L49" s="118"/>
      <c r="M49" s="118"/>
      <c r="N49" s="118"/>
      <c r="O49" s="118"/>
    </row>
    <row r="50" spans="2:16" hidden="1" outlineLevel="1" x14ac:dyDescent="0.25">
      <c r="B50" s="261" t="s">
        <v>165</v>
      </c>
      <c r="C50" s="231"/>
      <c r="D50" s="231"/>
      <c r="E50" s="262"/>
      <c r="F50" s="119"/>
      <c r="G50" s="119"/>
      <c r="H50" s="119"/>
      <c r="I50" s="119"/>
      <c r="J50" s="119"/>
      <c r="K50" s="120"/>
      <c r="L50" s="120"/>
      <c r="M50" s="120"/>
      <c r="N50" s="120"/>
      <c r="O50" s="120"/>
    </row>
    <row r="51" spans="2:16" hidden="1" outlineLevel="1" x14ac:dyDescent="0.25">
      <c r="B51" s="273"/>
      <c r="C51" s="236"/>
      <c r="D51" s="236"/>
      <c r="E51" s="272"/>
      <c r="F51" s="119"/>
      <c r="G51" s="119"/>
      <c r="H51" s="119"/>
      <c r="I51" s="119"/>
      <c r="J51" s="119"/>
      <c r="K51" s="120"/>
      <c r="L51" s="120"/>
      <c r="M51" s="120"/>
      <c r="N51" s="120"/>
      <c r="O51" s="120"/>
    </row>
    <row r="52" spans="2:16" hidden="1" outlineLevel="1" x14ac:dyDescent="0.25">
      <c r="B52" s="273"/>
      <c r="C52" s="236" t="s">
        <v>166</v>
      </c>
      <c r="D52" s="236"/>
      <c r="E52" s="274">
        <v>2.0420000000000001E-2</v>
      </c>
      <c r="F52" s="119"/>
      <c r="G52" s="119"/>
      <c r="H52" s="119"/>
      <c r="I52" s="119"/>
      <c r="J52" s="119"/>
      <c r="K52" s="120"/>
      <c r="L52" s="120"/>
      <c r="M52" s="120"/>
      <c r="N52" s="120"/>
      <c r="O52" s="120"/>
    </row>
    <row r="53" spans="2:16" hidden="1" outlineLevel="1" x14ac:dyDescent="0.25">
      <c r="B53" s="235"/>
      <c r="C53" s="236" t="s">
        <v>167</v>
      </c>
      <c r="D53" s="236"/>
      <c r="E53" s="274">
        <v>0.81133999999999995</v>
      </c>
      <c r="F53" s="119"/>
      <c r="G53" s="119"/>
      <c r="H53" s="119"/>
      <c r="I53" s="119"/>
      <c r="J53" s="119"/>
      <c r="K53" s="120"/>
      <c r="L53" s="120"/>
      <c r="M53" s="120"/>
      <c r="N53" s="120"/>
      <c r="O53" s="120"/>
    </row>
    <row r="54" spans="2:16" hidden="1" outlineLevel="1" x14ac:dyDescent="0.25">
      <c r="B54" s="242"/>
      <c r="C54" s="243" t="s">
        <v>168</v>
      </c>
      <c r="D54" s="243"/>
      <c r="E54" s="260">
        <v>0.16824</v>
      </c>
      <c r="F54" s="119"/>
      <c r="G54" s="119"/>
      <c r="H54" s="119"/>
      <c r="I54" s="119"/>
      <c r="J54" s="119"/>
      <c r="K54" s="120"/>
      <c r="L54" s="120"/>
      <c r="M54" s="120"/>
      <c r="N54" s="120"/>
      <c r="O54" s="120"/>
    </row>
    <row r="55" spans="2:16" hidden="1" outlineLevel="1" x14ac:dyDescent="0.25">
      <c r="B55" s="71"/>
      <c r="C55" s="71"/>
      <c r="D55" s="71"/>
      <c r="E55" s="122"/>
      <c r="F55" s="123"/>
      <c r="G55" s="123"/>
      <c r="H55" s="123"/>
      <c r="I55" s="123"/>
      <c r="J55" s="123"/>
      <c r="K55" s="123"/>
      <c r="L55" s="123"/>
      <c r="M55" s="123"/>
      <c r="N55" s="123"/>
      <c r="O55" s="123"/>
    </row>
    <row r="56" spans="2:16" hidden="1" outlineLevel="1" x14ac:dyDescent="0.25">
      <c r="B56" s="261" t="s">
        <v>154</v>
      </c>
      <c r="C56" s="231"/>
      <c r="D56" s="231"/>
      <c r="E56" s="231"/>
      <c r="F56" s="275"/>
      <c r="G56" s="275"/>
      <c r="H56" s="275"/>
      <c r="I56" s="275"/>
      <c r="J56" s="275"/>
      <c r="K56" s="275"/>
      <c r="L56" s="275"/>
      <c r="M56" s="275"/>
      <c r="N56" s="275"/>
      <c r="O56" s="276"/>
    </row>
    <row r="57" spans="2:16" hidden="1" outlineLevel="1" x14ac:dyDescent="0.25">
      <c r="B57" s="273"/>
      <c r="C57" s="236" t="s">
        <v>170</v>
      </c>
      <c r="D57" s="236"/>
      <c r="E57" s="236"/>
      <c r="F57" s="277"/>
      <c r="G57" s="277"/>
      <c r="H57" s="277"/>
      <c r="I57" s="277"/>
      <c r="J57" s="277"/>
      <c r="K57" s="278">
        <v>5000</v>
      </c>
      <c r="L57" s="277">
        <f>K57*(1+$D$6)</f>
        <v>5250</v>
      </c>
      <c r="M57" s="277">
        <f>L57*(1+$D$6)</f>
        <v>5512.5</v>
      </c>
      <c r="N57" s="277">
        <f>M57*(1+$D$6)</f>
        <v>5788.125</v>
      </c>
      <c r="O57" s="279">
        <f>N57*(1+$D$6)</f>
        <v>6077.53125</v>
      </c>
    </row>
    <row r="58" spans="2:16" hidden="1" outlineLevel="1" x14ac:dyDescent="0.25">
      <c r="B58" s="273"/>
      <c r="C58" s="236" t="s">
        <v>172</v>
      </c>
      <c r="D58" s="236"/>
      <c r="E58" s="236"/>
      <c r="F58" s="277"/>
      <c r="G58" s="277"/>
      <c r="H58" s="277"/>
      <c r="I58" s="277"/>
      <c r="J58" s="278">
        <v>10634.17</v>
      </c>
      <c r="K58" s="277">
        <f>J58*(1+$D$6)</f>
        <v>11165.878500000001</v>
      </c>
      <c r="L58" s="277">
        <f>K406</f>
        <v>13102.57943291684</v>
      </c>
      <c r="M58" s="277">
        <f>L406</f>
        <v>14023.967730534931</v>
      </c>
      <c r="N58" s="277">
        <f>M406</f>
        <v>15004.450029766867</v>
      </c>
      <c r="O58" s="279">
        <f>N406</f>
        <v>16083.349731684462</v>
      </c>
    </row>
    <row r="59" spans="2:16" hidden="1" outlineLevel="1" x14ac:dyDescent="0.25">
      <c r="B59" s="235"/>
      <c r="C59" s="236" t="s">
        <v>173</v>
      </c>
      <c r="D59" s="236"/>
      <c r="E59" s="236"/>
      <c r="F59" s="277"/>
      <c r="G59" s="277"/>
      <c r="H59" s="277"/>
      <c r="I59" s="277"/>
      <c r="J59" s="277"/>
      <c r="K59" s="278">
        <v>4900</v>
      </c>
      <c r="L59" s="277"/>
      <c r="M59" s="277"/>
      <c r="N59" s="277"/>
      <c r="O59" s="279"/>
    </row>
    <row r="60" spans="2:16" hidden="1" outlineLevel="1" x14ac:dyDescent="0.25">
      <c r="B60" s="235"/>
      <c r="C60" s="236" t="s">
        <v>175</v>
      </c>
      <c r="D60" s="236"/>
      <c r="E60" s="236"/>
      <c r="F60" s="277"/>
      <c r="G60" s="277"/>
      <c r="H60" s="277"/>
      <c r="I60" s="277"/>
      <c r="J60" s="277"/>
      <c r="K60" s="277"/>
      <c r="L60" s="277"/>
      <c r="M60" s="277"/>
      <c r="N60" s="277"/>
      <c r="O60" s="279"/>
    </row>
    <row r="61" spans="2:16" hidden="1" outlineLevel="1" x14ac:dyDescent="0.25">
      <c r="B61" s="242"/>
      <c r="C61" s="243" t="s">
        <v>295</v>
      </c>
      <c r="D61" s="243"/>
      <c r="E61" s="243"/>
      <c r="F61" s="280"/>
      <c r="G61" s="280"/>
      <c r="H61" s="280"/>
      <c r="I61" s="280"/>
      <c r="J61" s="280"/>
      <c r="K61" s="281">
        <v>3144</v>
      </c>
      <c r="L61" s="280"/>
      <c r="M61" s="280"/>
      <c r="N61" s="280"/>
      <c r="O61" s="282"/>
    </row>
    <row r="62" spans="2:16" hidden="1" outlineLevel="1" x14ac:dyDescent="0.25">
      <c r="B62" s="235"/>
      <c r="C62" s="236" t="s">
        <v>174</v>
      </c>
      <c r="D62" s="236"/>
      <c r="E62" s="236"/>
      <c r="F62" s="277"/>
      <c r="G62" s="277"/>
      <c r="H62" s="277"/>
      <c r="I62" s="277"/>
      <c r="J62" s="277"/>
      <c r="K62" s="277">
        <f>SUM(K57:K61)</f>
        <v>24209.878499999999</v>
      </c>
      <c r="L62" s="277">
        <f>SUM(L57:L61)</f>
        <v>18352.579432916842</v>
      </c>
      <c r="M62" s="277">
        <f>SUM(M57:M61)</f>
        <v>19536.467730534932</v>
      </c>
      <c r="N62" s="277">
        <f>SUM(N57:N61)</f>
        <v>20792.575029766867</v>
      </c>
      <c r="O62" s="279">
        <f>SUM(O57:O61)</f>
        <v>22160.880981684462</v>
      </c>
      <c r="P62" s="4"/>
    </row>
    <row r="63" spans="2:16" hidden="1" outlineLevel="1" x14ac:dyDescent="0.25">
      <c r="B63" s="235"/>
      <c r="C63" s="236"/>
      <c r="D63" s="236"/>
      <c r="E63" s="236"/>
      <c r="F63" s="277"/>
      <c r="G63" s="277"/>
      <c r="H63" s="277"/>
      <c r="I63" s="277"/>
      <c r="J63" s="277"/>
      <c r="K63" s="277"/>
      <c r="L63" s="277"/>
      <c r="M63" s="277"/>
      <c r="N63" s="277"/>
      <c r="O63" s="279"/>
    </row>
    <row r="64" spans="2:16" hidden="1" outlineLevel="1" x14ac:dyDescent="0.25">
      <c r="B64" s="242"/>
      <c r="C64" s="283" t="s">
        <v>195</v>
      </c>
      <c r="D64" s="243"/>
      <c r="E64" s="243"/>
      <c r="F64" s="280"/>
      <c r="G64" s="280"/>
      <c r="H64" s="280"/>
      <c r="I64" s="280"/>
      <c r="J64" s="284">
        <v>0.5</v>
      </c>
      <c r="K64" s="280"/>
      <c r="L64" s="280"/>
      <c r="M64" s="280"/>
      <c r="N64" s="280"/>
      <c r="O64" s="282"/>
    </row>
    <row r="65" spans="1:15" hidden="1" outlineLevel="1" x14ac:dyDescent="0.25">
      <c r="B65" s="71"/>
      <c r="C65" s="71"/>
      <c r="D65" s="71"/>
      <c r="E65" s="71"/>
      <c r="F65" s="123"/>
      <c r="G65" s="123"/>
      <c r="H65" s="123"/>
      <c r="I65" s="123"/>
      <c r="J65" s="123"/>
      <c r="K65" s="123"/>
      <c r="L65" s="123"/>
      <c r="M65" s="123"/>
      <c r="N65" s="123"/>
      <c r="O65" s="123"/>
    </row>
    <row r="66" spans="1:15" hidden="1" outlineLevel="1" x14ac:dyDescent="0.25">
      <c r="B66" s="71"/>
      <c r="C66" s="71"/>
      <c r="D66" s="71"/>
      <c r="E66" s="71"/>
      <c r="F66" s="123"/>
      <c r="G66" s="123"/>
      <c r="H66" s="123"/>
      <c r="I66" s="123"/>
      <c r="J66" s="123"/>
      <c r="K66" s="123"/>
      <c r="L66" s="123"/>
      <c r="M66" s="123"/>
      <c r="N66" s="123"/>
      <c r="O66" s="123"/>
    </row>
    <row r="67" spans="1:15" hidden="1" outlineLevel="1" x14ac:dyDescent="0.25">
      <c r="B67" s="261" t="s">
        <v>207</v>
      </c>
      <c r="C67" s="231"/>
      <c r="D67" s="231"/>
      <c r="E67" s="231"/>
      <c r="F67" s="275"/>
      <c r="G67" s="275"/>
      <c r="H67" s="275"/>
      <c r="I67" s="275"/>
      <c r="J67" s="275"/>
      <c r="K67" s="275"/>
      <c r="L67" s="275"/>
      <c r="M67" s="275"/>
      <c r="N67" s="275"/>
      <c r="O67" s="276"/>
    </row>
    <row r="68" spans="1:15" hidden="1" outlineLevel="1" x14ac:dyDescent="0.25">
      <c r="B68" s="235"/>
      <c r="C68" s="236" t="s">
        <v>334</v>
      </c>
      <c r="D68" s="236"/>
      <c r="E68" s="236"/>
      <c r="F68" s="277"/>
      <c r="G68" s="277"/>
      <c r="H68" s="277"/>
      <c r="I68" s="277"/>
      <c r="J68" s="278">
        <v>1889.34</v>
      </c>
      <c r="K68" s="277">
        <f>J68*(1+K283)</f>
        <v>2270.6546263568857</v>
      </c>
      <c r="L68" s="277">
        <f>K68*(1+L283)</f>
        <v>2588.4620979088236</v>
      </c>
      <c r="M68" s="277">
        <f>L68*(1+M283)</f>
        <v>2961.5052683872036</v>
      </c>
      <c r="N68" s="277">
        <f>M68*(1+N283)</f>
        <v>3400.0412283513083</v>
      </c>
      <c r="O68" s="285">
        <f>N68*(1+O283)</f>
        <v>3905.3842700470823</v>
      </c>
    </row>
    <row r="69" spans="1:15" hidden="1" outlineLevel="1" x14ac:dyDescent="0.25">
      <c r="B69" s="235"/>
      <c r="C69" s="236" t="s">
        <v>344</v>
      </c>
      <c r="D69" s="236"/>
      <c r="E69" s="236"/>
      <c r="F69" s="277"/>
      <c r="G69" s="277"/>
      <c r="H69" s="277"/>
      <c r="I69" s="277"/>
      <c r="J69" s="277"/>
      <c r="K69" s="286">
        <v>0.10249999999999999</v>
      </c>
      <c r="L69" s="287">
        <f>K69</f>
        <v>0.10249999999999999</v>
      </c>
      <c r="M69" s="287">
        <f t="shared" ref="M69:O70" si="0">L69</f>
        <v>0.10249999999999999</v>
      </c>
      <c r="N69" s="287">
        <f t="shared" si="0"/>
        <v>0.10249999999999999</v>
      </c>
      <c r="O69" s="288">
        <f t="shared" si="0"/>
        <v>0.10249999999999999</v>
      </c>
    </row>
    <row r="70" spans="1:15" hidden="1" outlineLevel="1" x14ac:dyDescent="0.25">
      <c r="B70" s="242"/>
      <c r="C70" s="243" t="s">
        <v>326</v>
      </c>
      <c r="D70" s="243"/>
      <c r="E70" s="243"/>
      <c r="F70" s="280"/>
      <c r="G70" s="280"/>
      <c r="H70" s="280"/>
      <c r="I70" s="280"/>
      <c r="J70" s="280"/>
      <c r="K70" s="289">
        <v>0.06</v>
      </c>
      <c r="L70" s="290">
        <f>K70</f>
        <v>0.06</v>
      </c>
      <c r="M70" s="290">
        <f t="shared" si="0"/>
        <v>0.06</v>
      </c>
      <c r="N70" s="290">
        <f t="shared" si="0"/>
        <v>0.06</v>
      </c>
      <c r="O70" s="291">
        <f t="shared" si="0"/>
        <v>0.06</v>
      </c>
    </row>
    <row r="71" spans="1:15" hidden="1" outlineLevel="1" x14ac:dyDescent="0.25">
      <c r="B71" s="71"/>
      <c r="C71" s="71"/>
      <c r="D71" s="71"/>
      <c r="E71" s="71"/>
      <c r="F71" s="123"/>
      <c r="G71" s="123"/>
      <c r="H71" s="123"/>
      <c r="I71" s="123"/>
      <c r="J71" s="123"/>
      <c r="K71" s="123"/>
      <c r="L71" s="123"/>
      <c r="M71" s="123"/>
      <c r="N71" s="123"/>
      <c r="O71" s="123"/>
    </row>
    <row r="72" spans="1:15" hidden="1" outlineLevel="1" x14ac:dyDescent="0.25">
      <c r="B72" s="261" t="s">
        <v>296</v>
      </c>
      <c r="C72" s="231"/>
      <c r="D72" s="231"/>
      <c r="E72" s="231"/>
      <c r="F72" s="275"/>
      <c r="G72" s="275"/>
      <c r="H72" s="275"/>
      <c r="I72" s="275"/>
      <c r="J72" s="275"/>
      <c r="K72" s="275"/>
      <c r="L72" s="275"/>
      <c r="M72" s="275"/>
      <c r="N72" s="275"/>
      <c r="O72" s="276"/>
    </row>
    <row r="73" spans="1:15" hidden="1" outlineLevel="1" x14ac:dyDescent="0.25">
      <c r="B73" s="292"/>
      <c r="C73" s="293" t="s">
        <v>293</v>
      </c>
      <c r="D73" s="293"/>
      <c r="E73" s="293"/>
      <c r="F73" s="294"/>
      <c r="G73" s="294"/>
      <c r="H73" s="294"/>
      <c r="I73" s="294"/>
      <c r="J73" s="294"/>
      <c r="K73" s="295">
        <v>4689.1899999999996</v>
      </c>
      <c r="L73" s="294"/>
      <c r="M73" s="294"/>
      <c r="N73" s="294"/>
      <c r="O73" s="285"/>
    </row>
    <row r="74" spans="1:15" hidden="1" outlineLevel="1" x14ac:dyDescent="0.25">
      <c r="B74" s="235"/>
      <c r="C74" s="236" t="s">
        <v>297</v>
      </c>
      <c r="D74" s="236"/>
      <c r="E74" s="236"/>
      <c r="F74" s="277"/>
      <c r="G74" s="277"/>
      <c r="H74" s="277"/>
      <c r="I74" s="277"/>
      <c r="J74" s="277"/>
      <c r="K74" s="278">
        <v>3481.33</v>
      </c>
      <c r="L74" s="277"/>
      <c r="M74" s="277"/>
      <c r="N74" s="277"/>
      <c r="O74" s="279"/>
    </row>
    <row r="75" spans="1:15" hidden="1" outlineLevel="1" x14ac:dyDescent="0.25">
      <c r="B75" s="242"/>
      <c r="C75" s="243" t="s">
        <v>298</v>
      </c>
      <c r="D75" s="243"/>
      <c r="E75" s="243"/>
      <c r="F75" s="280"/>
      <c r="G75" s="280"/>
      <c r="H75" s="280"/>
      <c r="I75" s="280"/>
      <c r="J75" s="280"/>
      <c r="K75" s="281">
        <v>3144</v>
      </c>
      <c r="L75" s="280"/>
      <c r="M75" s="280"/>
      <c r="N75" s="280"/>
      <c r="O75" s="282"/>
    </row>
    <row r="76" spans="1:15" hidden="1" outlineLevel="1" x14ac:dyDescent="0.25">
      <c r="B76" s="230"/>
      <c r="C76" s="231" t="s">
        <v>183</v>
      </c>
      <c r="D76" s="231"/>
      <c r="E76" s="231"/>
      <c r="F76" s="275"/>
      <c r="G76" s="275"/>
      <c r="H76" s="275"/>
      <c r="I76" s="275"/>
      <c r="J76" s="275"/>
      <c r="K76" s="275">
        <f>SUM(K73:K75)</f>
        <v>11314.52</v>
      </c>
      <c r="L76" s="275"/>
      <c r="M76" s="275"/>
      <c r="N76" s="275"/>
      <c r="O76" s="276"/>
    </row>
    <row r="77" spans="1:15" hidden="1" outlineLevel="1" x14ac:dyDescent="0.25"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</row>
    <row r="78" spans="1:15" collapsed="1" x14ac:dyDescent="0.25"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</row>
    <row r="79" spans="1:15" x14ac:dyDescent="0.25"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</row>
    <row r="80" spans="1:15" ht="25.5" x14ac:dyDescent="0.35">
      <c r="A80" s="142" t="s">
        <v>8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5"/>
    </row>
    <row r="81" spans="1:15" hidden="1" outlineLevel="1" x14ac:dyDescent="0.25">
      <c r="A81" s="143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</row>
    <row r="82" spans="1:15" hidden="1" outlineLevel="1" x14ac:dyDescent="0.25">
      <c r="A82" s="144" t="s">
        <v>28</v>
      </c>
      <c r="B82" s="86"/>
      <c r="C82" s="86"/>
      <c r="D82" s="86"/>
      <c r="E82" s="86"/>
      <c r="F82" s="145">
        <f>G82-1</f>
        <v>2021</v>
      </c>
      <c r="G82" s="145">
        <f>H82-1</f>
        <v>2022</v>
      </c>
      <c r="H82" s="145">
        <f>I82-1</f>
        <v>2023</v>
      </c>
      <c r="I82" s="145">
        <f>J82-1</f>
        <v>2024</v>
      </c>
      <c r="J82" s="145">
        <f>K82-1</f>
        <v>2025</v>
      </c>
      <c r="K82" s="146">
        <f>K5</f>
        <v>2026</v>
      </c>
      <c r="L82" s="146">
        <f>L5</f>
        <v>2027</v>
      </c>
      <c r="M82" s="146">
        <f>M5</f>
        <v>2028</v>
      </c>
      <c r="N82" s="146">
        <f>N5</f>
        <v>2029</v>
      </c>
      <c r="O82" s="146">
        <f>O5</f>
        <v>2030</v>
      </c>
    </row>
    <row r="83" spans="1:15" hidden="1" outlineLevel="1" x14ac:dyDescent="0.25">
      <c r="A83" s="143"/>
      <c r="B83" s="71"/>
      <c r="C83" s="71"/>
      <c r="D83" s="71"/>
      <c r="E83" s="71"/>
      <c r="F83" s="71"/>
      <c r="G83" s="71"/>
      <c r="H83" s="71"/>
      <c r="I83" s="71"/>
      <c r="J83" s="71"/>
      <c r="K83" s="147"/>
      <c r="L83" s="147"/>
      <c r="M83" s="147"/>
      <c r="N83" s="147"/>
      <c r="O83" s="147"/>
    </row>
    <row r="84" spans="1:15" hidden="1" outlineLevel="1" x14ac:dyDescent="0.25">
      <c r="A84" s="143"/>
      <c r="B84" s="71" t="s">
        <v>9</v>
      </c>
      <c r="C84" s="71"/>
      <c r="D84" s="71"/>
      <c r="E84" s="71"/>
      <c r="F84" s="123"/>
      <c r="G84" s="123"/>
      <c r="H84" s="123"/>
      <c r="I84" s="123"/>
      <c r="J84" s="123"/>
      <c r="K84" s="148"/>
      <c r="L84" s="148"/>
      <c r="M84" s="148"/>
      <c r="N84" s="148"/>
      <c r="O84" s="148"/>
    </row>
    <row r="85" spans="1:15" hidden="1" outlineLevel="1" x14ac:dyDescent="0.25">
      <c r="A85" s="143"/>
      <c r="B85" s="71"/>
      <c r="C85" s="71" t="s">
        <v>84</v>
      </c>
      <c r="D85" s="71"/>
      <c r="E85" s="71"/>
      <c r="F85" s="149">
        <v>89582.91</v>
      </c>
      <c r="G85" s="149">
        <v>133905.57999999999</v>
      </c>
      <c r="H85" s="149">
        <v>163210.63</v>
      </c>
      <c r="I85" s="149">
        <v>204813.28</v>
      </c>
      <c r="J85" s="149">
        <v>222255.84</v>
      </c>
      <c r="K85" s="148">
        <f>K87-K86</f>
        <v>268206.49571603548</v>
      </c>
      <c r="L85" s="148">
        <f>L87-L86</f>
        <v>306039.71474341949</v>
      </c>
      <c r="M85" s="148">
        <f>M87-M86</f>
        <v>350455.14701070392</v>
      </c>
      <c r="N85" s="148">
        <f>N87-N86</f>
        <v>402673.40435128636</v>
      </c>
      <c r="O85" s="148">
        <f>O87-O86</f>
        <v>462896.41116758133</v>
      </c>
    </row>
    <row r="86" spans="1:15" hidden="1" outlineLevel="1" x14ac:dyDescent="0.25">
      <c r="A86" s="150"/>
      <c r="B86" s="86"/>
      <c r="C86" s="86" t="s">
        <v>83</v>
      </c>
      <c r="D86" s="86"/>
      <c r="E86" s="86"/>
      <c r="F86" s="151">
        <v>-1350.61</v>
      </c>
      <c r="G86" s="151">
        <v>-2174.16</v>
      </c>
      <c r="H86" s="151">
        <v>-2784.82</v>
      </c>
      <c r="I86" s="151">
        <v>-4736.78</v>
      </c>
      <c r="J86" s="151">
        <v>-5402.05</v>
      </c>
      <c r="K86" s="152">
        <f>-K244</f>
        <v>-7586.3524350354501</v>
      </c>
      <c r="L86" s="152">
        <f>-L244</f>
        <v>-8942.4129327980354</v>
      </c>
      <c r="M86" s="152">
        <f>-M244</f>
        <v>-10540.869244535681</v>
      </c>
      <c r="N86" s="152">
        <f>-N244</f>
        <v>-12425.049621996433</v>
      </c>
      <c r="O86" s="152">
        <f>-O244</f>
        <v>-14646.027241928292</v>
      </c>
    </row>
    <row r="87" spans="1:15" hidden="1" outlineLevel="1" x14ac:dyDescent="0.25">
      <c r="A87" s="143"/>
      <c r="B87" s="72" t="s">
        <v>10</v>
      </c>
      <c r="C87" s="71"/>
      <c r="D87" s="71"/>
      <c r="E87" s="71"/>
      <c r="F87" s="123">
        <f>F85+F86</f>
        <v>88232.3</v>
      </c>
      <c r="G87" s="123">
        <f>G85+G86</f>
        <v>131731.41999999998</v>
      </c>
      <c r="H87" s="123">
        <f>H85+H86</f>
        <v>160425.81</v>
      </c>
      <c r="I87" s="123">
        <f>I85+I86</f>
        <v>200076.5</v>
      </c>
      <c r="J87" s="123">
        <f>J85+J86</f>
        <v>216853.79</v>
      </c>
      <c r="K87" s="148">
        <f>K242</f>
        <v>260620.14328100003</v>
      </c>
      <c r="L87" s="148">
        <f>L242</f>
        <v>297097.30181062146</v>
      </c>
      <c r="M87" s="148">
        <f>M242</f>
        <v>339914.27776616823</v>
      </c>
      <c r="N87" s="148">
        <f>N242</f>
        <v>390248.35472928995</v>
      </c>
      <c r="O87" s="148">
        <f>O242</f>
        <v>448250.38392565306</v>
      </c>
    </row>
    <row r="88" spans="1:15" hidden="1" outlineLevel="1" x14ac:dyDescent="0.25">
      <c r="A88" s="143"/>
      <c r="B88" s="71"/>
      <c r="C88" s="71" t="s">
        <v>82</v>
      </c>
      <c r="D88" s="71"/>
      <c r="E88" s="71"/>
      <c r="F88" s="149">
        <v>679.25</v>
      </c>
      <c r="G88" s="149">
        <v>388.49</v>
      </c>
      <c r="H88" s="149">
        <v>793.59</v>
      </c>
      <c r="I88" s="149">
        <v>1212.68</v>
      </c>
      <c r="J88" s="149">
        <v>3523.48</v>
      </c>
      <c r="K88" s="153">
        <f ca="1">K424</f>
        <v>756.83034604269392</v>
      </c>
      <c r="L88" s="153">
        <f ca="1">L424</f>
        <v>918.22099874906621</v>
      </c>
      <c r="M88" s="153">
        <f ca="1">M424</f>
        <v>2298.3253283602271</v>
      </c>
      <c r="N88" s="153">
        <f ca="1">N424</f>
        <v>4044.1811799790385</v>
      </c>
      <c r="O88" s="153">
        <f ca="1">O424</f>
        <v>6220.2528315156378</v>
      </c>
    </row>
    <row r="89" spans="1:15" hidden="1" outlineLevel="1" x14ac:dyDescent="0.25">
      <c r="A89" s="143"/>
      <c r="B89" s="71"/>
      <c r="C89" s="71"/>
      <c r="D89" s="71"/>
      <c r="E89" s="71"/>
      <c r="F89" s="123"/>
      <c r="G89" s="123"/>
      <c r="H89" s="123"/>
      <c r="I89" s="123"/>
      <c r="J89" s="123"/>
      <c r="K89" s="148"/>
      <c r="L89" s="148"/>
      <c r="M89" s="148"/>
      <c r="N89" s="148"/>
      <c r="O89" s="148"/>
    </row>
    <row r="90" spans="1:15" hidden="1" outlineLevel="1" x14ac:dyDescent="0.25">
      <c r="A90" s="143"/>
      <c r="B90" s="71" t="s">
        <v>11</v>
      </c>
      <c r="C90" s="71"/>
      <c r="D90" s="71"/>
      <c r="E90" s="71"/>
      <c r="F90" s="123"/>
      <c r="G90" s="123"/>
      <c r="H90" s="123"/>
      <c r="I90" s="123"/>
      <c r="J90" s="123"/>
      <c r="K90" s="148"/>
      <c r="L90" s="148"/>
      <c r="M90" s="148"/>
      <c r="N90" s="148"/>
      <c r="O90" s="148"/>
    </row>
    <row r="91" spans="1:15" hidden="1" outlineLevel="1" x14ac:dyDescent="0.25">
      <c r="A91" s="143"/>
      <c r="B91" s="71"/>
      <c r="C91" s="71" t="s">
        <v>85</v>
      </c>
      <c r="D91" s="71"/>
      <c r="E91" s="71"/>
      <c r="F91" s="149">
        <v>39689.129999999997</v>
      </c>
      <c r="G91" s="149">
        <v>64170.92</v>
      </c>
      <c r="H91" s="149">
        <v>70264.61</v>
      </c>
      <c r="I91" s="149">
        <v>82937.429999999993</v>
      </c>
      <c r="J91" s="149">
        <v>93370.62</v>
      </c>
      <c r="K91" s="148">
        <f>K87*K46</f>
        <v>115717.74933852088</v>
      </c>
      <c r="L91" s="148">
        <f>L87*L46</f>
        <v>131913.94443753551</v>
      </c>
      <c r="M91" s="148">
        <f>M87*M46</f>
        <v>150925.07699498831</v>
      </c>
      <c r="N91" s="148">
        <f>N87*N46</f>
        <v>173273.87178835287</v>
      </c>
      <c r="O91" s="148">
        <f>O87*O46</f>
        <v>199027.30815429639</v>
      </c>
    </row>
    <row r="92" spans="1:15" hidden="1" outlineLevel="1" x14ac:dyDescent="0.25">
      <c r="A92" s="143"/>
      <c r="B92" s="71"/>
      <c r="C92" s="71" t="s">
        <v>86</v>
      </c>
      <c r="D92" s="71"/>
      <c r="E92" s="71"/>
      <c r="F92" s="149">
        <v>1654.69</v>
      </c>
      <c r="G92" s="149">
        <v>1885.71</v>
      </c>
      <c r="H92" s="149">
        <v>4626.96</v>
      </c>
      <c r="I92" s="149">
        <v>6859.21</v>
      </c>
      <c r="J92" s="149">
        <v>3694.53</v>
      </c>
      <c r="K92" s="148">
        <f>K274</f>
        <v>5902.0163124300725</v>
      </c>
      <c r="L92" s="148">
        <f>L274</f>
        <v>6728.0798007031162</v>
      </c>
      <c r="M92" s="148">
        <f>M274</f>
        <v>7697.7150996373812</v>
      </c>
      <c r="N92" s="148">
        <f>N274</f>
        <v>8837.5830299038153</v>
      </c>
      <c r="O92" s="148">
        <f>O274</f>
        <v>10151.099775621671</v>
      </c>
    </row>
    <row r="93" spans="1:15" hidden="1" outlineLevel="1" x14ac:dyDescent="0.25">
      <c r="A93" s="143"/>
      <c r="B93" s="71"/>
      <c r="C93" s="71" t="s">
        <v>87</v>
      </c>
      <c r="D93" s="71"/>
      <c r="E93" s="71"/>
      <c r="F93" s="149">
        <v>-997.22</v>
      </c>
      <c r="G93" s="149">
        <v>-3445.07</v>
      </c>
      <c r="H93" s="149">
        <v>-842.69</v>
      </c>
      <c r="I93" s="149">
        <v>-749.4</v>
      </c>
      <c r="J93" s="149">
        <v>89.14</v>
      </c>
      <c r="K93" s="148">
        <v>0</v>
      </c>
      <c r="L93" s="148">
        <v>0</v>
      </c>
      <c r="M93" s="148">
        <v>0</v>
      </c>
      <c r="N93" s="148">
        <v>0</v>
      </c>
      <c r="O93" s="148">
        <v>0</v>
      </c>
    </row>
    <row r="94" spans="1:15" hidden="1" outlineLevel="1" x14ac:dyDescent="0.25">
      <c r="A94" s="143"/>
      <c r="B94" s="71"/>
      <c r="C94" s="71" t="s">
        <v>88</v>
      </c>
      <c r="D94" s="71"/>
      <c r="E94" s="71"/>
      <c r="F94" s="149">
        <v>10076.99</v>
      </c>
      <c r="G94" s="149">
        <v>12166.42</v>
      </c>
      <c r="H94" s="149">
        <v>14465.87</v>
      </c>
      <c r="I94" s="149">
        <v>18850.259999999998</v>
      </c>
      <c r="J94" s="149">
        <v>22007.43</v>
      </c>
      <c r="K94" s="148">
        <f>K269</f>
        <v>25667.936469337052</v>
      </c>
      <c r="L94" s="148">
        <f>L269</f>
        <v>29260.496031054237</v>
      </c>
      <c r="M94" s="148">
        <f>M269</f>
        <v>33477.451039981323</v>
      </c>
      <c r="N94" s="148">
        <f>N269</f>
        <v>38434.749710249984</v>
      </c>
      <c r="O94" s="148">
        <f>O269</f>
        <v>44147.249065680342</v>
      </c>
    </row>
    <row r="95" spans="1:15" hidden="1" outlineLevel="1" x14ac:dyDescent="0.25">
      <c r="A95" s="143"/>
      <c r="B95" s="71"/>
      <c r="C95" s="71" t="s">
        <v>89</v>
      </c>
      <c r="D95" s="71"/>
      <c r="E95" s="71"/>
      <c r="F95" s="149">
        <v>1847</v>
      </c>
      <c r="G95" s="149">
        <v>1861.22</v>
      </c>
      <c r="H95" s="149">
        <v>2680.99</v>
      </c>
      <c r="I95" s="149">
        <v>4503.8599999999997</v>
      </c>
      <c r="J95" s="149">
        <v>1695.79</v>
      </c>
      <c r="K95" s="153">
        <f ca="1">K451</f>
        <v>1538.5461177587867</v>
      </c>
      <c r="L95" s="153">
        <f ca="1">L451</f>
        <v>760.40855645025977</v>
      </c>
      <c r="M95" s="153">
        <f ca="1">M451</f>
        <v>654.47932360471532</v>
      </c>
      <c r="N95" s="153">
        <f ca="1">N451</f>
        <v>571.32916177448635</v>
      </c>
      <c r="O95" s="153">
        <f ca="1">O451</f>
        <v>530.7315392896918</v>
      </c>
    </row>
    <row r="96" spans="1:15" hidden="1" outlineLevel="1" x14ac:dyDescent="0.25">
      <c r="A96" s="143"/>
      <c r="B96" s="71"/>
      <c r="C96" s="71" t="s">
        <v>311</v>
      </c>
      <c r="D96" s="71"/>
      <c r="E96" s="71"/>
      <c r="F96" s="149">
        <v>5312.62</v>
      </c>
      <c r="G96" s="149">
        <v>6171.89</v>
      </c>
      <c r="H96" s="149">
        <v>6809.06</v>
      </c>
      <c r="I96" s="149">
        <v>9473.86</v>
      </c>
      <c r="J96" s="149">
        <v>12164.63</v>
      </c>
      <c r="K96" s="148">
        <f>K495</f>
        <v>14704.662885656167</v>
      </c>
      <c r="L96" s="148">
        <f>L495</f>
        <v>15918.178035509047</v>
      </c>
      <c r="M96" s="148">
        <f>M495</f>
        <v>16898.660334740984</v>
      </c>
      <c r="N96" s="148">
        <f>N495</f>
        <v>17977.560036658579</v>
      </c>
      <c r="O96" s="148">
        <f>O495</f>
        <v>19148.929745904767</v>
      </c>
    </row>
    <row r="97" spans="1:15" hidden="1" outlineLevel="1" x14ac:dyDescent="0.25">
      <c r="A97" s="150"/>
      <c r="B97" s="86"/>
      <c r="C97" s="86" t="s">
        <v>90</v>
      </c>
      <c r="D97" s="86"/>
      <c r="E97" s="86"/>
      <c r="F97" s="151">
        <v>21262.26</v>
      </c>
      <c r="G97" s="151">
        <v>29072.39</v>
      </c>
      <c r="H97" s="151">
        <v>35816.21</v>
      </c>
      <c r="I97" s="151">
        <v>45068.29</v>
      </c>
      <c r="J97" s="151">
        <v>47198.38</v>
      </c>
      <c r="K97" s="152">
        <f>K264</f>
        <v>58787.461866110381</v>
      </c>
      <c r="L97" s="152">
        <f>L264</f>
        <v>67015.52719923429</v>
      </c>
      <c r="M97" s="152">
        <f>M264</f>
        <v>76673.649973324471</v>
      </c>
      <c r="N97" s="152">
        <f>N264</f>
        <v>88027.387227796702</v>
      </c>
      <c r="O97" s="152">
        <f>O264</f>
        <v>101110.76611252777</v>
      </c>
    </row>
    <row r="98" spans="1:15" hidden="1" outlineLevel="1" x14ac:dyDescent="0.25">
      <c r="A98" s="143"/>
      <c r="B98" s="72" t="s">
        <v>12</v>
      </c>
      <c r="C98" s="71"/>
      <c r="D98" s="71"/>
      <c r="E98" s="71"/>
      <c r="F98" s="123">
        <f t="shared" ref="F98:O98" si="1">SUM(F91:F97)</f>
        <v>78845.47</v>
      </c>
      <c r="G98" s="123">
        <f t="shared" si="1"/>
        <v>111883.48000000001</v>
      </c>
      <c r="H98" s="123">
        <f t="shared" si="1"/>
        <v>133821.01</v>
      </c>
      <c r="I98" s="123">
        <f t="shared" si="1"/>
        <v>166943.51</v>
      </c>
      <c r="J98" s="123">
        <f t="shared" si="1"/>
        <v>180220.52</v>
      </c>
      <c r="K98" s="148">
        <f t="shared" ca="1" si="1"/>
        <v>222318.37298981336</v>
      </c>
      <c r="L98" s="148">
        <f t="shared" ca="1" si="1"/>
        <v>251596.63406048645</v>
      </c>
      <c r="M98" s="148">
        <f t="shared" ca="1" si="1"/>
        <v>286327.0327662772</v>
      </c>
      <c r="N98" s="148">
        <f t="shared" ca="1" si="1"/>
        <v>327122.48095473641</v>
      </c>
      <c r="O98" s="148">
        <f t="shared" ca="1" si="1"/>
        <v>374116.08439332061</v>
      </c>
    </row>
    <row r="99" spans="1:15" hidden="1" outlineLevel="1" x14ac:dyDescent="0.25">
      <c r="A99" s="143"/>
      <c r="B99" s="71"/>
      <c r="C99" s="71"/>
      <c r="D99" s="71"/>
      <c r="E99" s="71"/>
      <c r="F99" s="123"/>
      <c r="G99" s="123"/>
      <c r="H99" s="123"/>
      <c r="I99" s="123"/>
      <c r="J99" s="123"/>
      <c r="K99" s="148"/>
      <c r="L99" s="148"/>
      <c r="M99" s="148"/>
      <c r="N99" s="148"/>
      <c r="O99" s="148"/>
    </row>
    <row r="100" spans="1:15" hidden="1" outlineLevel="1" x14ac:dyDescent="0.25">
      <c r="A100" s="154"/>
      <c r="B100" s="155" t="s">
        <v>13</v>
      </c>
      <c r="C100" s="74"/>
      <c r="D100" s="74"/>
      <c r="E100" s="74"/>
      <c r="F100" s="124">
        <f t="shared" ref="F100:O100" si="2">F87-F98+F96+F95</f>
        <v>16546.45</v>
      </c>
      <c r="G100" s="124">
        <f t="shared" si="2"/>
        <v>27881.049999999974</v>
      </c>
      <c r="H100" s="124">
        <f t="shared" si="2"/>
        <v>36094.849999999984</v>
      </c>
      <c r="I100" s="124">
        <f t="shared" si="2"/>
        <v>47110.709999999992</v>
      </c>
      <c r="J100" s="124">
        <f t="shared" si="2"/>
        <v>50493.690000000017</v>
      </c>
      <c r="K100" s="156">
        <f t="shared" ca="1" si="2"/>
        <v>54544.979294601617</v>
      </c>
      <c r="L100" s="156">
        <f t="shared" ca="1" si="2"/>
        <v>62179.254342094311</v>
      </c>
      <c r="M100" s="156">
        <f t="shared" ca="1" si="2"/>
        <v>71140.384658236726</v>
      </c>
      <c r="N100" s="156">
        <f t="shared" ca="1" si="2"/>
        <v>81674.762972986588</v>
      </c>
      <c r="O100" s="156">
        <f t="shared" ca="1" si="2"/>
        <v>93813.96081752691</v>
      </c>
    </row>
    <row r="101" spans="1:15" hidden="1" outlineLevel="1" x14ac:dyDescent="0.25">
      <c r="A101" s="143"/>
      <c r="B101" s="71"/>
      <c r="C101" s="71"/>
      <c r="D101" s="71"/>
      <c r="E101" s="71"/>
      <c r="F101" s="123"/>
      <c r="G101" s="123"/>
      <c r="H101" s="123"/>
      <c r="I101" s="123"/>
      <c r="J101" s="123"/>
      <c r="K101" s="148"/>
      <c r="L101" s="148"/>
      <c r="M101" s="148"/>
      <c r="N101" s="148"/>
      <c r="O101" s="148"/>
    </row>
    <row r="102" spans="1:15" hidden="1" outlineLevel="1" x14ac:dyDescent="0.25">
      <c r="A102" s="143"/>
      <c r="B102" s="71" t="s">
        <v>14</v>
      </c>
      <c r="C102" s="71"/>
      <c r="D102" s="71"/>
      <c r="E102" s="71"/>
      <c r="F102" s="123">
        <f t="shared" ref="F102:O102" si="3">F87+F88-F98</f>
        <v>10066.080000000002</v>
      </c>
      <c r="G102" s="123">
        <f t="shared" si="3"/>
        <v>20236.429999999964</v>
      </c>
      <c r="H102" s="123">
        <f t="shared" si="3"/>
        <v>27398.389999999985</v>
      </c>
      <c r="I102" s="123">
        <f t="shared" si="3"/>
        <v>34345.669999999984</v>
      </c>
      <c r="J102" s="123">
        <f t="shared" si="3"/>
        <v>40156.750000000029</v>
      </c>
      <c r="K102" s="148">
        <f t="shared" ca="1" si="3"/>
        <v>39058.600637229363</v>
      </c>
      <c r="L102" s="148">
        <f t="shared" ca="1" si="3"/>
        <v>46418.888748884085</v>
      </c>
      <c r="M102" s="148">
        <f t="shared" ca="1" si="3"/>
        <v>55885.570328251284</v>
      </c>
      <c r="N102" s="148">
        <f t="shared" ca="1" si="3"/>
        <v>67170.054954532592</v>
      </c>
      <c r="O102" s="148">
        <f t="shared" ca="1" si="3"/>
        <v>80354.552363848081</v>
      </c>
    </row>
    <row r="103" spans="1:15" hidden="1" outlineLevel="1" x14ac:dyDescent="0.25">
      <c r="A103" s="150"/>
      <c r="B103" s="86" t="s">
        <v>15</v>
      </c>
      <c r="C103" s="86"/>
      <c r="D103" s="86"/>
      <c r="E103" s="86"/>
      <c r="F103" s="151">
        <v>0</v>
      </c>
      <c r="G103" s="151">
        <v>-0.06</v>
      </c>
      <c r="H103" s="151">
        <v>-4.79</v>
      </c>
      <c r="I103" s="151">
        <v>-14.78</v>
      </c>
      <c r="J103" s="151">
        <v>-60.27</v>
      </c>
      <c r="K103" s="152">
        <v>0</v>
      </c>
      <c r="L103" s="152">
        <v>0</v>
      </c>
      <c r="M103" s="152">
        <v>0</v>
      </c>
      <c r="N103" s="152">
        <v>0</v>
      </c>
      <c r="O103" s="152">
        <v>0</v>
      </c>
    </row>
    <row r="104" spans="1:15" hidden="1" outlineLevel="1" x14ac:dyDescent="0.25">
      <c r="A104" s="143"/>
      <c r="B104" s="72" t="s">
        <v>16</v>
      </c>
      <c r="C104" s="71"/>
      <c r="D104" s="71"/>
      <c r="E104" s="71"/>
      <c r="F104" s="123">
        <f>F102+F103</f>
        <v>10066.080000000002</v>
      </c>
      <c r="G104" s="123">
        <f t="shared" ref="G104:O104" si="4">G102+G103</f>
        <v>20236.369999999963</v>
      </c>
      <c r="H104" s="123">
        <f t="shared" si="4"/>
        <v>27393.599999999984</v>
      </c>
      <c r="I104" s="123">
        <f t="shared" si="4"/>
        <v>34330.889999999985</v>
      </c>
      <c r="J104" s="123">
        <f t="shared" si="4"/>
        <v>40096.480000000032</v>
      </c>
      <c r="K104" s="148">
        <f t="shared" ca="1" si="4"/>
        <v>39058.600637229363</v>
      </c>
      <c r="L104" s="148">
        <f t="shared" ca="1" si="4"/>
        <v>46418.888748884085</v>
      </c>
      <c r="M104" s="148">
        <f t="shared" ca="1" si="4"/>
        <v>55885.570328251284</v>
      </c>
      <c r="N104" s="148">
        <f t="shared" ca="1" si="4"/>
        <v>67170.054954532592</v>
      </c>
      <c r="O104" s="148">
        <f t="shared" ca="1" si="4"/>
        <v>80354.552363848081</v>
      </c>
    </row>
    <row r="105" spans="1:15" hidden="1" outlineLevel="1" x14ac:dyDescent="0.25">
      <c r="A105" s="150"/>
      <c r="B105" s="86" t="s">
        <v>17</v>
      </c>
      <c r="C105" s="86"/>
      <c r="D105" s="86"/>
      <c r="E105" s="86"/>
      <c r="F105" s="151">
        <v>-2605.56</v>
      </c>
      <c r="G105" s="151">
        <v>-4735.2299999999996</v>
      </c>
      <c r="H105" s="151">
        <v>-6375.47</v>
      </c>
      <c r="I105" s="151">
        <v>-7988.04</v>
      </c>
      <c r="J105" s="149">
        <v>-9476.06</v>
      </c>
      <c r="K105" s="152">
        <f ca="1">-K519</f>
        <v>-9136.3943224734412</v>
      </c>
      <c r="L105" s="152">
        <f ca="1">-L519</f>
        <v>-10858.07644671713</v>
      </c>
      <c r="M105" s="152">
        <f ca="1">-M519</f>
        <v>-13072.475693574779</v>
      </c>
      <c r="N105" s="152">
        <f ca="1">-N519</f>
        <v>-15712.086421802569</v>
      </c>
      <c r="O105" s="152">
        <f ca="1">-O519</f>
        <v>-18796.138725517681</v>
      </c>
    </row>
    <row r="106" spans="1:15" hidden="1" outlineLevel="1" x14ac:dyDescent="0.25">
      <c r="A106" s="143"/>
      <c r="B106" s="72" t="s">
        <v>18</v>
      </c>
      <c r="C106" s="71"/>
      <c r="D106" s="71"/>
      <c r="E106" s="71"/>
      <c r="F106" s="123">
        <f>F104+F105</f>
        <v>7460.5200000000023</v>
      </c>
      <c r="G106" s="123">
        <f t="shared" ref="G106:O106" si="5">G104+G105</f>
        <v>15501.139999999963</v>
      </c>
      <c r="H106" s="123">
        <f t="shared" si="5"/>
        <v>21018.129999999983</v>
      </c>
      <c r="I106" s="123">
        <f t="shared" si="5"/>
        <v>26342.849999999984</v>
      </c>
      <c r="J106" s="140">
        <f t="shared" si="5"/>
        <v>30620.420000000035</v>
      </c>
      <c r="K106" s="157">
        <f t="shared" ca="1" si="5"/>
        <v>29922.206314755924</v>
      </c>
      <c r="L106" s="157">
        <f t="shared" ca="1" si="5"/>
        <v>35560.812302166953</v>
      </c>
      <c r="M106" s="157">
        <f t="shared" ca="1" si="5"/>
        <v>42813.094634676505</v>
      </c>
      <c r="N106" s="157">
        <f t="shared" ca="1" si="5"/>
        <v>51457.968532730025</v>
      </c>
      <c r="O106" s="157">
        <f t="shared" ca="1" si="5"/>
        <v>61558.413638330399</v>
      </c>
    </row>
    <row r="107" spans="1:15" hidden="1" outlineLevel="1" x14ac:dyDescent="0.25">
      <c r="A107" s="150"/>
      <c r="B107" s="86" t="s">
        <v>19</v>
      </c>
      <c r="C107" s="86"/>
      <c r="D107" s="86"/>
      <c r="E107" s="86"/>
      <c r="F107" s="151">
        <v>-520</v>
      </c>
      <c r="G107" s="151">
        <v>-553.80999999999995</v>
      </c>
      <c r="H107" s="151">
        <v>-458.91</v>
      </c>
      <c r="I107" s="151">
        <v>-396.52</v>
      </c>
      <c r="J107" s="149">
        <v>-255.53</v>
      </c>
      <c r="K107" s="152"/>
      <c r="L107" s="152"/>
      <c r="M107" s="152"/>
      <c r="N107" s="152"/>
      <c r="O107" s="152"/>
    </row>
    <row r="108" spans="1:15" hidden="1" outlineLevel="1" x14ac:dyDescent="0.25">
      <c r="A108" s="143"/>
      <c r="B108" s="72" t="s">
        <v>20</v>
      </c>
      <c r="C108" s="71"/>
      <c r="D108" s="71"/>
      <c r="E108" s="71"/>
      <c r="F108" s="123">
        <f>F106+F107</f>
        <v>6940.5200000000023</v>
      </c>
      <c r="G108" s="123">
        <f t="shared" ref="G108:O108" si="6">G106+G107</f>
        <v>14947.329999999964</v>
      </c>
      <c r="H108" s="123">
        <f t="shared" si="6"/>
        <v>20559.219999999983</v>
      </c>
      <c r="I108" s="123">
        <f t="shared" si="6"/>
        <v>25946.329999999984</v>
      </c>
      <c r="J108" s="140">
        <f t="shared" si="6"/>
        <v>30364.890000000036</v>
      </c>
      <c r="K108" s="157">
        <f t="shared" ca="1" si="6"/>
        <v>29922.206314755924</v>
      </c>
      <c r="L108" s="157">
        <f t="shared" ca="1" si="6"/>
        <v>35560.812302166953</v>
      </c>
      <c r="M108" s="157">
        <f t="shared" ca="1" si="6"/>
        <v>42813.094634676505</v>
      </c>
      <c r="N108" s="157">
        <f t="shared" ca="1" si="6"/>
        <v>51457.968532730025</v>
      </c>
      <c r="O108" s="157">
        <f t="shared" ca="1" si="6"/>
        <v>61558.413638330399</v>
      </c>
    </row>
    <row r="109" spans="1:15" hidden="1" outlineLevel="1" x14ac:dyDescent="0.25">
      <c r="A109" s="143"/>
      <c r="B109" s="71"/>
      <c r="C109" s="71"/>
      <c r="D109" s="71"/>
      <c r="E109" s="71"/>
      <c r="F109" s="123"/>
      <c r="G109" s="123"/>
      <c r="H109" s="123"/>
      <c r="I109" s="123"/>
      <c r="J109" s="123"/>
      <c r="K109" s="148"/>
      <c r="L109" s="148"/>
      <c r="M109" s="148"/>
      <c r="N109" s="148"/>
      <c r="O109" s="148"/>
    </row>
    <row r="110" spans="1:15" hidden="1" outlineLevel="1" x14ac:dyDescent="0.25">
      <c r="A110" s="143"/>
      <c r="B110" s="71"/>
      <c r="C110" s="71"/>
      <c r="D110" s="71"/>
      <c r="E110" s="71"/>
      <c r="F110" s="123"/>
      <c r="G110" s="123"/>
      <c r="H110" s="123"/>
      <c r="I110" s="123"/>
      <c r="J110" s="123"/>
      <c r="K110" s="148"/>
      <c r="L110" s="148"/>
      <c r="M110" s="148"/>
      <c r="N110" s="148"/>
      <c r="O110" s="148"/>
    </row>
    <row r="111" spans="1:15" hidden="1" outlineLevel="1" x14ac:dyDescent="0.25">
      <c r="A111" s="143"/>
      <c r="B111" s="71" t="s">
        <v>21</v>
      </c>
      <c r="C111" s="71"/>
      <c r="D111" s="71" t="s">
        <v>22</v>
      </c>
      <c r="E111" s="71"/>
      <c r="F111" s="158">
        <v>3246825</v>
      </c>
      <c r="G111" s="158">
        <v>3246825</v>
      </c>
      <c r="H111" s="158">
        <v>3246875</v>
      </c>
      <c r="I111" s="158">
        <v>3278350</v>
      </c>
      <c r="J111" s="158">
        <v>3381750</v>
      </c>
      <c r="K111" s="159">
        <f>K540</f>
        <v>3381750</v>
      </c>
      <c r="L111" s="159">
        <f>L540</f>
        <v>3381750</v>
      </c>
      <c r="M111" s="159">
        <f>M540</f>
        <v>3381750</v>
      </c>
      <c r="N111" s="159">
        <f>N540</f>
        <v>3381750</v>
      </c>
      <c r="O111" s="159">
        <f>O540</f>
        <v>3381750</v>
      </c>
    </row>
    <row r="112" spans="1:15" hidden="1" outlineLevel="1" x14ac:dyDescent="0.25">
      <c r="A112" s="143"/>
      <c r="B112" s="71" t="s">
        <v>23</v>
      </c>
      <c r="C112" s="71"/>
      <c r="D112" s="71" t="s">
        <v>22</v>
      </c>
      <c r="E112" s="71"/>
      <c r="F112" s="158">
        <v>3248500</v>
      </c>
      <c r="G112" s="158">
        <v>3248750</v>
      </c>
      <c r="H112" s="158">
        <v>3248928</v>
      </c>
      <c r="I112" s="158">
        <v>3280500</v>
      </c>
      <c r="J112" s="158">
        <v>3383500</v>
      </c>
      <c r="K112" s="159">
        <f>K543</f>
        <v>3383500</v>
      </c>
      <c r="L112" s="159">
        <f>L543</f>
        <v>3383500</v>
      </c>
      <c r="M112" s="159">
        <f>M543</f>
        <v>3383500</v>
      </c>
      <c r="N112" s="159">
        <f>N543</f>
        <v>3383500</v>
      </c>
      <c r="O112" s="159">
        <f>O543</f>
        <v>3383500</v>
      </c>
    </row>
    <row r="113" spans="1:15" hidden="1" outlineLevel="1" x14ac:dyDescent="0.25">
      <c r="A113" s="143"/>
      <c r="B113" s="72" t="s">
        <v>24</v>
      </c>
      <c r="C113" s="71"/>
      <c r="D113" s="71"/>
      <c r="E113" s="71"/>
      <c r="F113" s="123"/>
      <c r="G113" s="123"/>
      <c r="H113" s="123"/>
      <c r="I113" s="123"/>
      <c r="J113" s="123"/>
      <c r="K113" s="148"/>
      <c r="L113" s="148"/>
      <c r="M113" s="148"/>
      <c r="N113" s="148"/>
      <c r="O113" s="148"/>
    </row>
    <row r="114" spans="1:15" hidden="1" outlineLevel="1" x14ac:dyDescent="0.25">
      <c r="A114" s="143"/>
      <c r="B114" s="71" t="s">
        <v>25</v>
      </c>
      <c r="C114" s="71"/>
      <c r="D114" s="71" t="s">
        <v>27</v>
      </c>
      <c r="E114" s="71"/>
      <c r="F114" s="123">
        <f t="shared" ref="F114:J115" si="7">(F$108/F111)*1000</f>
        <v>2.137632918312506</v>
      </c>
      <c r="G114" s="123">
        <f t="shared" si="7"/>
        <v>4.6036758987626261</v>
      </c>
      <c r="H114" s="123">
        <f t="shared" si="7"/>
        <v>6.3320023099133733</v>
      </c>
      <c r="I114" s="123">
        <f t="shared" si="7"/>
        <v>7.9144478167370735</v>
      </c>
      <c r="J114" s="123">
        <f t="shared" si="7"/>
        <v>8.9790463517409727</v>
      </c>
      <c r="K114" s="148">
        <f ca="1">(K$108/K111)*1000</f>
        <v>8.8481426228301689</v>
      </c>
      <c r="L114" s="148">
        <f t="shared" ref="L114:O115" ca="1" si="8">(L$108/L111)*1000</f>
        <v>10.515505966486865</v>
      </c>
      <c r="M114" s="148">
        <f t="shared" ca="1" si="8"/>
        <v>12.660041290656171</v>
      </c>
      <c r="N114" s="148">
        <f t="shared" ca="1" si="8"/>
        <v>15.21637274568789</v>
      </c>
      <c r="O114" s="148">
        <f t="shared" ca="1" si="8"/>
        <v>18.203123719473762</v>
      </c>
    </row>
    <row r="115" spans="1:15" hidden="1" outlineLevel="1" x14ac:dyDescent="0.25">
      <c r="A115" s="143"/>
      <c r="B115" s="71" t="s">
        <v>26</v>
      </c>
      <c r="C115" s="71"/>
      <c r="D115" s="71" t="s">
        <v>27</v>
      </c>
      <c r="E115" s="71"/>
      <c r="F115" s="123">
        <f t="shared" si="7"/>
        <v>2.1365307064799146</v>
      </c>
      <c r="G115" s="123">
        <f t="shared" si="7"/>
        <v>4.6009480569449677</v>
      </c>
      <c r="H115" s="123">
        <f t="shared" si="7"/>
        <v>6.3280011129824922</v>
      </c>
      <c r="I115" s="123">
        <f t="shared" si="7"/>
        <v>7.9092607834171567</v>
      </c>
      <c r="J115" s="123">
        <f t="shared" si="7"/>
        <v>8.9744022461947797</v>
      </c>
      <c r="K115" s="148">
        <f ca="1">(K$108/K112)*1000</f>
        <v>8.8435662227740277</v>
      </c>
      <c r="L115" s="148">
        <f t="shared" ca="1" si="8"/>
        <v>10.510067179597149</v>
      </c>
      <c r="M115" s="148">
        <f t="shared" ca="1" si="8"/>
        <v>12.653493315997194</v>
      </c>
      <c r="N115" s="148">
        <f t="shared" ca="1" si="8"/>
        <v>15.208502595752927</v>
      </c>
      <c r="O115" s="148">
        <f t="shared" ca="1" si="8"/>
        <v>18.193708774443742</v>
      </c>
    </row>
    <row r="116" spans="1:15" hidden="1" outlineLevel="1" x14ac:dyDescent="0.25">
      <c r="A116" s="143"/>
      <c r="B116" s="71"/>
      <c r="C116" s="71"/>
      <c r="D116" s="71"/>
      <c r="E116" s="71"/>
      <c r="F116" s="123"/>
      <c r="G116" s="123"/>
      <c r="H116" s="123"/>
      <c r="I116" s="123"/>
      <c r="J116" s="123"/>
      <c r="K116" s="148"/>
      <c r="L116" s="148"/>
      <c r="M116" s="148"/>
      <c r="N116" s="148"/>
      <c r="O116" s="148"/>
    </row>
    <row r="117" spans="1:15" hidden="1" outlineLevel="1" x14ac:dyDescent="0.25">
      <c r="A117" s="143"/>
      <c r="B117" s="71"/>
      <c r="C117" s="71"/>
      <c r="D117" s="71"/>
      <c r="E117" s="71"/>
      <c r="F117" s="123"/>
      <c r="G117" s="123"/>
      <c r="H117" s="123"/>
      <c r="I117" s="123"/>
      <c r="J117" s="123"/>
      <c r="K117" s="160"/>
      <c r="L117" s="160"/>
      <c r="M117" s="160"/>
      <c r="N117" s="160"/>
      <c r="O117" s="160"/>
    </row>
    <row r="118" spans="1:15" collapsed="1" x14ac:dyDescent="0.25">
      <c r="B118" s="56"/>
      <c r="C118" s="56"/>
      <c r="D118" s="56"/>
      <c r="E118" s="56"/>
      <c r="F118" s="63"/>
      <c r="G118" s="63"/>
      <c r="H118" s="63"/>
      <c r="I118" s="63"/>
      <c r="J118" s="63"/>
      <c r="K118" s="66"/>
      <c r="L118" s="66"/>
      <c r="M118" s="66"/>
      <c r="N118" s="66"/>
      <c r="O118" s="66"/>
    </row>
    <row r="119" spans="1:15" ht="25.5" x14ac:dyDescent="0.35">
      <c r="A119" s="142" t="s">
        <v>29</v>
      </c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5"/>
    </row>
    <row r="120" spans="1:15" hidden="1" outlineLevel="1" x14ac:dyDescent="0.25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</row>
    <row r="121" spans="1:15" hidden="1" outlineLevel="1" x14ac:dyDescent="0.25">
      <c r="A121" s="144" t="s">
        <v>30</v>
      </c>
      <c r="B121" s="86"/>
      <c r="C121" s="86"/>
      <c r="D121" s="86"/>
      <c r="E121" s="86"/>
      <c r="F121" s="145">
        <f>G121-1</f>
        <v>2021</v>
      </c>
      <c r="G121" s="145">
        <f>H121-1</f>
        <v>2022</v>
      </c>
      <c r="H121" s="145">
        <f>I121-1</f>
        <v>2023</v>
      </c>
      <c r="I121" s="145">
        <f>J121-1</f>
        <v>2024</v>
      </c>
      <c r="J121" s="145">
        <f>K121-1</f>
        <v>2025</v>
      </c>
      <c r="K121" s="146">
        <f>K$82</f>
        <v>2026</v>
      </c>
      <c r="L121" s="146">
        <f>L$82</f>
        <v>2027</v>
      </c>
      <c r="M121" s="146">
        <f>M$82</f>
        <v>2028</v>
      </c>
      <c r="N121" s="146">
        <f>N$82</f>
        <v>2029</v>
      </c>
      <c r="O121" s="146">
        <f>O$82</f>
        <v>2030</v>
      </c>
    </row>
    <row r="122" spans="1:15" hidden="1" outlineLevel="1" x14ac:dyDescent="0.25">
      <c r="A122" s="71"/>
      <c r="B122" s="72" t="s">
        <v>31</v>
      </c>
      <c r="C122" s="71"/>
      <c r="D122" s="71"/>
      <c r="E122" s="71"/>
      <c r="F122" s="123"/>
      <c r="G122" s="123"/>
      <c r="H122" s="123"/>
      <c r="I122" s="123"/>
      <c r="J122" s="123"/>
      <c r="K122" s="148"/>
      <c r="L122" s="148"/>
      <c r="M122" s="148"/>
      <c r="N122" s="148"/>
      <c r="O122" s="148"/>
    </row>
    <row r="123" spans="1:15" hidden="1" outlineLevel="1" x14ac:dyDescent="0.25">
      <c r="A123" s="71"/>
      <c r="B123" s="71"/>
      <c r="C123" s="71" t="s">
        <v>32</v>
      </c>
      <c r="D123" s="71"/>
      <c r="E123" s="71"/>
      <c r="F123" s="149">
        <v>10066.08</v>
      </c>
      <c r="G123" s="149">
        <v>20236.43</v>
      </c>
      <c r="H123" s="149">
        <v>27398.39</v>
      </c>
      <c r="I123" s="149">
        <v>34345.67</v>
      </c>
      <c r="J123" s="149">
        <v>40156.75</v>
      </c>
      <c r="K123" s="148">
        <f ca="1">K102</f>
        <v>39058.600637229363</v>
      </c>
      <c r="L123" s="148">
        <f ca="1">L102</f>
        <v>46418.888748884085</v>
      </c>
      <c r="M123" s="148">
        <f ca="1">M102</f>
        <v>55885.570328251284</v>
      </c>
      <c r="N123" s="148">
        <f ca="1">N102</f>
        <v>67170.054954532592</v>
      </c>
      <c r="O123" s="148">
        <f ca="1">O102</f>
        <v>80354.552363848081</v>
      </c>
    </row>
    <row r="124" spans="1:15" hidden="1" outlineLevel="1" x14ac:dyDescent="0.25">
      <c r="A124" s="71"/>
      <c r="B124" s="71"/>
      <c r="C124" s="71"/>
      <c r="D124" s="71"/>
      <c r="E124" s="71"/>
      <c r="F124" s="123"/>
      <c r="G124" s="123"/>
      <c r="H124" s="123"/>
      <c r="I124" s="123"/>
      <c r="J124" s="123"/>
      <c r="K124" s="148"/>
      <c r="L124" s="148"/>
      <c r="M124" s="148"/>
      <c r="N124" s="148"/>
      <c r="O124" s="148"/>
    </row>
    <row r="125" spans="1:15" hidden="1" outlineLevel="1" x14ac:dyDescent="0.25">
      <c r="A125" s="71"/>
      <c r="B125" s="71" t="s">
        <v>33</v>
      </c>
      <c r="C125" s="71"/>
      <c r="D125" s="71"/>
      <c r="E125" s="71"/>
      <c r="F125" s="123"/>
      <c r="G125" s="123"/>
      <c r="H125" s="123"/>
      <c r="I125" s="123"/>
      <c r="J125" s="123"/>
      <c r="K125" s="148"/>
      <c r="L125" s="148"/>
      <c r="M125" s="148"/>
      <c r="N125" s="148"/>
      <c r="O125" s="148"/>
    </row>
    <row r="126" spans="1:15" hidden="1" outlineLevel="1" x14ac:dyDescent="0.25">
      <c r="A126" s="71"/>
      <c r="B126" s="71"/>
      <c r="C126" s="71" t="s">
        <v>34</v>
      </c>
      <c r="D126" s="71"/>
      <c r="E126" s="71"/>
      <c r="F126" s="149">
        <v>5037.54</v>
      </c>
      <c r="G126" s="149">
        <v>5830.99</v>
      </c>
      <c r="H126" s="149">
        <v>6409.04</v>
      </c>
      <c r="I126" s="149">
        <v>8386.9500000000007</v>
      </c>
      <c r="J126" s="149">
        <v>10634.17</v>
      </c>
      <c r="K126" s="148">
        <f>K406</f>
        <v>13102.57943291684</v>
      </c>
      <c r="L126" s="148">
        <f>L406</f>
        <v>14023.967730534931</v>
      </c>
      <c r="M126" s="148">
        <f>M406</f>
        <v>15004.450029766867</v>
      </c>
      <c r="N126" s="148">
        <f>N406</f>
        <v>16083.349731684462</v>
      </c>
      <c r="O126" s="148">
        <f>O406</f>
        <v>17254.71944093065</v>
      </c>
    </row>
    <row r="127" spans="1:15" hidden="1" outlineLevel="1" x14ac:dyDescent="0.25">
      <c r="A127" s="71"/>
      <c r="B127" s="71"/>
      <c r="C127" s="71" t="s">
        <v>35</v>
      </c>
      <c r="D127" s="71"/>
      <c r="E127" s="71"/>
      <c r="F127" s="149">
        <v>275.08</v>
      </c>
      <c r="G127" s="149">
        <v>340.9</v>
      </c>
      <c r="H127" s="149">
        <v>400.02</v>
      </c>
      <c r="I127" s="149">
        <v>1086.9100000000001</v>
      </c>
      <c r="J127" s="149">
        <v>1530.46</v>
      </c>
      <c r="K127" s="148">
        <f>K494</f>
        <v>1602.0834527393279</v>
      </c>
      <c r="L127" s="148">
        <f>L494</f>
        <v>1894.2103049741168</v>
      </c>
      <c r="M127" s="148">
        <f>M494</f>
        <v>1894.2103049741168</v>
      </c>
      <c r="N127" s="148">
        <f>N494</f>
        <v>1894.2103049741168</v>
      </c>
      <c r="O127" s="148">
        <f>O494</f>
        <v>1894.2103049741168</v>
      </c>
    </row>
    <row r="128" spans="1:15" hidden="1" outlineLevel="1" x14ac:dyDescent="0.25">
      <c r="A128" s="71"/>
      <c r="B128" s="71"/>
      <c r="C128" s="71" t="s">
        <v>36</v>
      </c>
      <c r="D128" s="71"/>
      <c r="E128" s="71"/>
      <c r="F128" s="149">
        <v>1850.37</v>
      </c>
      <c r="G128" s="149">
        <v>1854.49</v>
      </c>
      <c r="H128" s="149">
        <v>2680.99</v>
      </c>
      <c r="I128" s="149">
        <v>4503.8599999999997</v>
      </c>
      <c r="J128" s="149">
        <v>1695.79</v>
      </c>
      <c r="K128" s="148">
        <f ca="1">K451</f>
        <v>1538.5461177587867</v>
      </c>
      <c r="L128" s="148">
        <f ca="1">L451</f>
        <v>760.40855645025977</v>
      </c>
      <c r="M128" s="148">
        <f ca="1">M451</f>
        <v>654.47932360471532</v>
      </c>
      <c r="N128" s="148">
        <f ca="1">N451</f>
        <v>571.32916177448635</v>
      </c>
      <c r="O128" s="148">
        <f ca="1">O451</f>
        <v>530.7315392896918</v>
      </c>
    </row>
    <row r="129" spans="1:15" hidden="1" outlineLevel="1" x14ac:dyDescent="0.25">
      <c r="A129" s="71"/>
      <c r="B129" s="71"/>
      <c r="C129" s="71" t="s">
        <v>37</v>
      </c>
      <c r="D129" s="71"/>
      <c r="E129" s="71"/>
      <c r="F129" s="149">
        <v>-145.16</v>
      </c>
      <c r="G129" s="149">
        <v>-228.29</v>
      </c>
      <c r="H129" s="149">
        <v>-238</v>
      </c>
      <c r="I129" s="149">
        <v>-419</v>
      </c>
      <c r="J129" s="149">
        <v>-317.64999999999998</v>
      </c>
      <c r="K129" s="148">
        <f ca="1">-K424</f>
        <v>-756.83034604269392</v>
      </c>
      <c r="L129" s="148">
        <f ca="1">-L424</f>
        <v>-918.22099874906621</v>
      </c>
      <c r="M129" s="148">
        <f ca="1">-M424</f>
        <v>-2298.3253283602271</v>
      </c>
      <c r="N129" s="148">
        <f ca="1">-N424</f>
        <v>-4044.1811799790385</v>
      </c>
      <c r="O129" s="148">
        <f ca="1">-O424</f>
        <v>-6220.2528315156378</v>
      </c>
    </row>
    <row r="130" spans="1:15" hidden="1" outlineLevel="1" x14ac:dyDescent="0.25">
      <c r="A130" s="71"/>
      <c r="B130" s="71"/>
      <c r="C130" s="71" t="s">
        <v>38</v>
      </c>
      <c r="D130" s="71"/>
      <c r="E130" s="71"/>
      <c r="F130" s="149">
        <v>0.54</v>
      </c>
      <c r="G130" s="149">
        <v>90.02</v>
      </c>
      <c r="H130" s="149">
        <v>-249.65</v>
      </c>
      <c r="I130" s="149">
        <v>-532.57000000000005</v>
      </c>
      <c r="J130" s="149">
        <v>69.62</v>
      </c>
      <c r="K130" s="148">
        <v>0</v>
      </c>
      <c r="L130" s="148">
        <v>0</v>
      </c>
      <c r="M130" s="148">
        <v>0</v>
      </c>
      <c r="N130" s="148">
        <v>0</v>
      </c>
      <c r="O130" s="148">
        <v>0</v>
      </c>
    </row>
    <row r="131" spans="1:15" hidden="1" outlineLevel="1" x14ac:dyDescent="0.25">
      <c r="A131" s="71"/>
      <c r="B131" s="71"/>
      <c r="C131" s="71" t="s">
        <v>39</v>
      </c>
      <c r="D131" s="71"/>
      <c r="E131" s="71"/>
      <c r="F131" s="149">
        <v>258.01</v>
      </c>
      <c r="G131" s="149">
        <v>619.59</v>
      </c>
      <c r="H131" s="149">
        <v>839.32</v>
      </c>
      <c r="I131" s="149">
        <v>739.41</v>
      </c>
      <c r="J131" s="149">
        <v>-838.84</v>
      </c>
      <c r="K131" s="148">
        <v>0</v>
      </c>
      <c r="L131" s="148">
        <v>0</v>
      </c>
      <c r="M131" s="148">
        <v>0</v>
      </c>
      <c r="N131" s="148">
        <v>0</v>
      </c>
      <c r="O131" s="148">
        <v>0</v>
      </c>
    </row>
    <row r="132" spans="1:15" hidden="1" outlineLevel="1" x14ac:dyDescent="0.25">
      <c r="A132" s="71"/>
      <c r="B132" s="71"/>
      <c r="C132" s="71" t="s">
        <v>40</v>
      </c>
      <c r="D132" s="71"/>
      <c r="E132" s="71"/>
      <c r="F132" s="149">
        <v>-1098.5</v>
      </c>
      <c r="G132" s="149">
        <v>-1258.6199999999999</v>
      </c>
      <c r="H132" s="149">
        <v>81.87</v>
      </c>
      <c r="I132" s="149">
        <v>-330.72</v>
      </c>
      <c r="J132" s="149">
        <v>-3245.11</v>
      </c>
      <c r="K132" s="148">
        <f>K502</f>
        <v>976.45800790478779</v>
      </c>
      <c r="L132" s="148">
        <f>L502</f>
        <v>813.83096560900913</v>
      </c>
      <c r="M132" s="148">
        <f>M502</f>
        <v>955.27673456428056</v>
      </c>
      <c r="N132" s="148">
        <f>N502</f>
        <v>1122.9885251251408</v>
      </c>
      <c r="O132" s="148">
        <f>O502</f>
        <v>1294.0659122290481</v>
      </c>
    </row>
    <row r="133" spans="1:15" hidden="1" outlineLevel="1" x14ac:dyDescent="0.25">
      <c r="A133" s="71"/>
      <c r="B133" s="71"/>
      <c r="C133" s="71"/>
      <c r="D133" s="71"/>
      <c r="E133" s="71"/>
      <c r="F133" s="123"/>
      <c r="G133" s="123"/>
      <c r="H133" s="123"/>
      <c r="I133" s="123"/>
      <c r="J133" s="123"/>
      <c r="K133" s="148"/>
      <c r="L133" s="148"/>
      <c r="M133" s="148"/>
      <c r="N133" s="148"/>
      <c r="O133" s="148"/>
    </row>
    <row r="134" spans="1:15" hidden="1" outlineLevel="1" x14ac:dyDescent="0.25">
      <c r="A134" s="139"/>
      <c r="B134" s="139"/>
      <c r="C134" s="139" t="s">
        <v>41</v>
      </c>
      <c r="D134" s="139"/>
      <c r="E134" s="139"/>
      <c r="F134" s="140">
        <f>F123+(SUM(F126:F132))</f>
        <v>16243.96</v>
      </c>
      <c r="G134" s="140">
        <f t="shared" ref="G134:O134" si="9">G123+(SUM(G126:G132))</f>
        <v>27485.51</v>
      </c>
      <c r="H134" s="140">
        <f t="shared" si="9"/>
        <v>37321.979999999996</v>
      </c>
      <c r="I134" s="140">
        <f t="shared" si="9"/>
        <v>47780.51</v>
      </c>
      <c r="J134" s="140">
        <f t="shared" si="9"/>
        <v>49685.19</v>
      </c>
      <c r="K134" s="157">
        <f t="shared" ca="1" si="9"/>
        <v>55521.437302506412</v>
      </c>
      <c r="L134" s="157">
        <f t="shared" ca="1" si="9"/>
        <v>62993.085307703332</v>
      </c>
      <c r="M134" s="157">
        <f t="shared" ca="1" si="9"/>
        <v>72095.661392801034</v>
      </c>
      <c r="N134" s="157">
        <f t="shared" ca="1" si="9"/>
        <v>82797.751498111757</v>
      </c>
      <c r="O134" s="157">
        <f t="shared" ca="1" si="9"/>
        <v>95108.026729755948</v>
      </c>
    </row>
    <row r="135" spans="1:15" hidden="1" outlineLevel="1" x14ac:dyDescent="0.25">
      <c r="A135" s="79"/>
      <c r="B135" s="79"/>
      <c r="C135" s="79"/>
      <c r="D135" s="79"/>
      <c r="E135" s="79"/>
      <c r="F135" s="119"/>
      <c r="G135" s="119"/>
      <c r="H135" s="119"/>
      <c r="I135" s="119"/>
      <c r="J135" s="119"/>
      <c r="K135" s="161"/>
      <c r="L135" s="161"/>
      <c r="M135" s="161"/>
      <c r="N135" s="161"/>
      <c r="O135" s="161"/>
    </row>
    <row r="136" spans="1:15" hidden="1" outlineLevel="1" x14ac:dyDescent="0.25">
      <c r="A136" s="71"/>
      <c r="B136" s="71" t="s">
        <v>42</v>
      </c>
      <c r="C136" s="71"/>
      <c r="D136" s="71"/>
      <c r="E136" s="71"/>
      <c r="F136" s="123"/>
      <c r="G136" s="123"/>
      <c r="H136" s="123"/>
      <c r="I136" s="123"/>
      <c r="J136" s="123"/>
      <c r="K136" s="148"/>
      <c r="L136" s="148"/>
      <c r="M136" s="148"/>
      <c r="N136" s="148"/>
      <c r="O136" s="148"/>
    </row>
    <row r="137" spans="1:15" hidden="1" outlineLevel="1" x14ac:dyDescent="0.25">
      <c r="A137" s="71"/>
      <c r="B137" s="71"/>
      <c r="C137" s="71" t="s">
        <v>43</v>
      </c>
      <c r="D137" s="71"/>
      <c r="E137" s="71"/>
      <c r="F137" s="149">
        <v>-5192.83</v>
      </c>
      <c r="G137" s="149">
        <v>-5568.33</v>
      </c>
      <c r="H137" s="149">
        <v>-1601.73</v>
      </c>
      <c r="I137" s="149">
        <v>-4787.7</v>
      </c>
      <c r="J137" s="149">
        <v>147.84</v>
      </c>
      <c r="K137" s="148">
        <f>K309</f>
        <v>-7064.7501926219702</v>
      </c>
      <c r="L137" s="148">
        <f>L309</f>
        <v>-5120.2134606287582</v>
      </c>
      <c r="M137" s="148">
        <f>M309</f>
        <v>-6010.1188104599787</v>
      </c>
      <c r="N137" s="148">
        <f>N309</f>
        <v>-7065.2767042042542</v>
      </c>
      <c r="O137" s="148">
        <f>O309</f>
        <v>-8141.6092318110386</v>
      </c>
    </row>
    <row r="138" spans="1:15" hidden="1" outlineLevel="1" x14ac:dyDescent="0.25">
      <c r="A138" s="71"/>
      <c r="B138" s="71"/>
      <c r="C138" s="71" t="s">
        <v>44</v>
      </c>
      <c r="D138" s="71"/>
      <c r="E138" s="71"/>
      <c r="F138" s="149">
        <v>146.56</v>
      </c>
      <c r="G138" s="149">
        <v>-1233.8</v>
      </c>
      <c r="H138" s="149">
        <v>-730.18</v>
      </c>
      <c r="I138" s="149">
        <v>-1332.15</v>
      </c>
      <c r="J138" s="149">
        <v>-2851.03</v>
      </c>
      <c r="K138" s="148">
        <f>K308</f>
        <v>-2520.8474338825599</v>
      </c>
      <c r="L138" s="148">
        <f>L308</f>
        <v>-2101.0055574962098</v>
      </c>
      <c r="M138" s="148">
        <f>M308</f>
        <v>-2466.1653501528635</v>
      </c>
      <c r="N138" s="148">
        <f>N308</f>
        <v>-2899.1341347239031</v>
      </c>
      <c r="O138" s="148">
        <f>O308</f>
        <v>-3340.7916241243729</v>
      </c>
    </row>
    <row r="139" spans="1:15" hidden="1" outlineLevel="1" x14ac:dyDescent="0.25">
      <c r="A139" s="71"/>
      <c r="B139" s="71"/>
      <c r="C139" s="71" t="s">
        <v>45</v>
      </c>
      <c r="D139" s="71"/>
      <c r="E139" s="71"/>
      <c r="F139" s="149">
        <v>-921.85</v>
      </c>
      <c r="G139" s="149">
        <v>-3257.13</v>
      </c>
      <c r="H139" s="149">
        <v>-4572.18</v>
      </c>
      <c r="I139" s="149">
        <v>-5224.3</v>
      </c>
      <c r="J139" s="149">
        <v>2230.71</v>
      </c>
      <c r="K139" s="148">
        <f>K310</f>
        <v>-3411.015484183692</v>
      </c>
      <c r="L139" s="148">
        <f>L310</f>
        <v>-2842.9179777602658</v>
      </c>
      <c r="M139" s="148">
        <f>M310</f>
        <v>-3337.0239241224226</v>
      </c>
      <c r="N139" s="148">
        <f>N310</f>
        <v>-3922.8837458988528</v>
      </c>
      <c r="O139" s="148">
        <f>O310</f>
        <v>-4520.5004500285468</v>
      </c>
    </row>
    <row r="140" spans="1:15" hidden="1" outlineLevel="1" x14ac:dyDescent="0.25">
      <c r="A140" s="71"/>
      <c r="B140" s="71"/>
      <c r="C140" s="71" t="s">
        <v>46</v>
      </c>
      <c r="D140" s="71"/>
      <c r="E140" s="71"/>
      <c r="F140" s="149">
        <v>3280.66</v>
      </c>
      <c r="G140" s="149">
        <v>4207.33</v>
      </c>
      <c r="H140" s="149">
        <v>169.28</v>
      </c>
      <c r="I140" s="149">
        <v>4650.2700000000004</v>
      </c>
      <c r="J140" s="149">
        <v>-5238.0600000000004</v>
      </c>
      <c r="K140" s="148">
        <f>K306</f>
        <v>4738.3684284574401</v>
      </c>
      <c r="L140" s="148">
        <f>L306</f>
        <v>3320.1723818776263</v>
      </c>
      <c r="M140" s="148">
        <f>M306</f>
        <v>3897.2262855310782</v>
      </c>
      <c r="N140" s="148">
        <f>N306</f>
        <v>4581.437231865275</v>
      </c>
      <c r="O140" s="148">
        <f>O306</f>
        <v>5279.3787453110344</v>
      </c>
    </row>
    <row r="141" spans="1:15" hidden="1" outlineLevel="1" x14ac:dyDescent="0.25">
      <c r="A141" s="139"/>
      <c r="B141" s="139"/>
      <c r="C141" s="162" t="s">
        <v>47</v>
      </c>
      <c r="D141" s="139"/>
      <c r="E141" s="139"/>
      <c r="F141" s="140">
        <f>F134+(SUM(F137:F140))</f>
        <v>13556.5</v>
      </c>
      <c r="G141" s="140">
        <f t="shared" ref="G141:O141" si="10">G134+(SUM(G137:G140))</f>
        <v>21633.579999999998</v>
      </c>
      <c r="H141" s="140">
        <f t="shared" si="10"/>
        <v>30587.169999999995</v>
      </c>
      <c r="I141" s="140">
        <f t="shared" si="10"/>
        <v>41086.630000000005</v>
      </c>
      <c r="J141" s="140">
        <f t="shared" si="10"/>
        <v>43974.65</v>
      </c>
      <c r="K141" s="157">
        <f t="shared" ca="1" si="10"/>
        <v>47263.192620275629</v>
      </c>
      <c r="L141" s="157">
        <f t="shared" ca="1" si="10"/>
        <v>56249.120693695724</v>
      </c>
      <c r="M141" s="157">
        <f t="shared" ca="1" si="10"/>
        <v>64179.579593596849</v>
      </c>
      <c r="N141" s="157">
        <f t="shared" ca="1" si="10"/>
        <v>73491.894145150029</v>
      </c>
      <c r="O141" s="157">
        <f t="shared" ca="1" si="10"/>
        <v>84384.50416910302</v>
      </c>
    </row>
    <row r="142" spans="1:15" hidden="1" outlineLevel="1" x14ac:dyDescent="0.25">
      <c r="A142" s="71"/>
      <c r="B142" s="71"/>
      <c r="C142" s="71" t="s">
        <v>48</v>
      </c>
      <c r="D142" s="71"/>
      <c r="E142" s="71"/>
      <c r="F142" s="149">
        <v>-1242.28</v>
      </c>
      <c r="G142" s="149">
        <v>-3733.29</v>
      </c>
      <c r="H142" s="149">
        <v>-6679.39</v>
      </c>
      <c r="I142" s="149">
        <v>-7275.66</v>
      </c>
      <c r="J142" s="149">
        <v>-8881.51</v>
      </c>
      <c r="K142" s="148">
        <f ca="1">-K519</f>
        <v>-9136.3943224734412</v>
      </c>
      <c r="L142" s="148">
        <f ca="1">-L519</f>
        <v>-10858.07644671713</v>
      </c>
      <c r="M142" s="148">
        <f ca="1">-M519</f>
        <v>-13072.475693574779</v>
      </c>
      <c r="N142" s="148">
        <f ca="1">-N519</f>
        <v>-15712.086421802569</v>
      </c>
      <c r="O142" s="148">
        <f ca="1">-O519</f>
        <v>-18796.138725517681</v>
      </c>
    </row>
    <row r="143" spans="1:15" hidden="1" outlineLevel="1" x14ac:dyDescent="0.25">
      <c r="A143" s="139"/>
      <c r="B143" s="139" t="s">
        <v>49</v>
      </c>
      <c r="C143" s="139"/>
      <c r="D143" s="139"/>
      <c r="E143" s="139"/>
      <c r="F143" s="140">
        <f>F141+F142</f>
        <v>12314.22</v>
      </c>
      <c r="G143" s="140">
        <f t="shared" ref="G143:O143" si="11">G141+G142</f>
        <v>17900.289999999997</v>
      </c>
      <c r="H143" s="140">
        <f t="shared" si="11"/>
        <v>23907.779999999995</v>
      </c>
      <c r="I143" s="140">
        <f t="shared" si="11"/>
        <v>33810.97</v>
      </c>
      <c r="J143" s="140">
        <f t="shared" si="11"/>
        <v>35093.14</v>
      </c>
      <c r="K143" s="157">
        <f t="shared" ca="1" si="11"/>
        <v>38126.79829780219</v>
      </c>
      <c r="L143" s="157">
        <f t="shared" ca="1" si="11"/>
        <v>45391.044246978592</v>
      </c>
      <c r="M143" s="157">
        <f t="shared" ca="1" si="11"/>
        <v>51107.10390002207</v>
      </c>
      <c r="N143" s="157">
        <f t="shared" ca="1" si="11"/>
        <v>57779.807723347461</v>
      </c>
      <c r="O143" s="157">
        <f t="shared" ca="1" si="11"/>
        <v>65588.365443585339</v>
      </c>
    </row>
    <row r="144" spans="1:15" hidden="1" outlineLevel="1" x14ac:dyDescent="0.25">
      <c r="A144" s="71"/>
      <c r="B144" s="71"/>
      <c r="C144" s="71"/>
      <c r="D144" s="71"/>
      <c r="E144" s="71"/>
      <c r="F144" s="123"/>
      <c r="G144" s="123"/>
      <c r="H144" s="123"/>
      <c r="I144" s="123"/>
      <c r="J144" s="123"/>
      <c r="K144" s="148"/>
      <c r="L144" s="148"/>
      <c r="M144" s="148"/>
      <c r="N144" s="148"/>
      <c r="O144" s="148"/>
    </row>
    <row r="145" spans="1:16" hidden="1" outlineLevel="1" x14ac:dyDescent="0.25">
      <c r="A145" s="71"/>
      <c r="B145" s="71"/>
      <c r="C145" s="71"/>
      <c r="D145" s="71"/>
      <c r="E145" s="71"/>
      <c r="F145" s="123"/>
      <c r="G145" s="123"/>
      <c r="H145" s="123"/>
      <c r="I145" s="123"/>
      <c r="J145" s="123"/>
      <c r="K145" s="148"/>
      <c r="L145" s="148"/>
      <c r="M145" s="148"/>
      <c r="N145" s="148"/>
      <c r="O145" s="148"/>
    </row>
    <row r="146" spans="1:16" hidden="1" outlineLevel="1" x14ac:dyDescent="0.25">
      <c r="A146" s="71"/>
      <c r="B146" s="72" t="s">
        <v>50</v>
      </c>
      <c r="C146" s="71"/>
      <c r="D146" s="71"/>
      <c r="E146" s="71"/>
      <c r="F146" s="123"/>
      <c r="G146" s="123"/>
      <c r="H146" s="123"/>
      <c r="I146" s="123"/>
      <c r="J146" s="123"/>
      <c r="K146" s="148"/>
      <c r="L146" s="148"/>
      <c r="M146" s="148"/>
      <c r="N146" s="148"/>
      <c r="O146" s="148"/>
    </row>
    <row r="147" spans="1:16" hidden="1" outlineLevel="1" x14ac:dyDescent="0.25">
      <c r="A147" s="71"/>
      <c r="B147" s="71"/>
      <c r="C147" s="71" t="s">
        <v>51</v>
      </c>
      <c r="D147" s="71"/>
      <c r="E147" s="71"/>
      <c r="F147" s="149">
        <v>-9228.92</v>
      </c>
      <c r="G147" s="149">
        <v>-17498.990000000002</v>
      </c>
      <c r="H147" s="149">
        <v>-31939.18</v>
      </c>
      <c r="I147" s="149">
        <v>-41422.57</v>
      </c>
      <c r="J147" s="149">
        <v>-27123.89</v>
      </c>
      <c r="K147" s="148">
        <f>-K326</f>
        <v>-21065.878499999999</v>
      </c>
      <c r="L147" s="148">
        <f>-L326</f>
        <v>-18352.579432916842</v>
      </c>
      <c r="M147" s="148">
        <f>-M326</f>
        <v>-19536.467730534932</v>
      </c>
      <c r="N147" s="148">
        <f>-N326</f>
        <v>-20792.575029766867</v>
      </c>
      <c r="O147" s="148">
        <f>-O326</f>
        <v>-22160.880981684462</v>
      </c>
    </row>
    <row r="148" spans="1:16" hidden="1" outlineLevel="1" x14ac:dyDescent="0.25">
      <c r="A148" s="71"/>
      <c r="B148" s="71"/>
      <c r="C148" s="71" t="s">
        <v>53</v>
      </c>
      <c r="D148" s="71"/>
      <c r="E148" s="71"/>
      <c r="F148" s="149">
        <v>132.46</v>
      </c>
      <c r="G148" s="149">
        <v>232.42</v>
      </c>
      <c r="H148" s="149">
        <v>220.16</v>
      </c>
      <c r="I148" s="149">
        <v>281.13</v>
      </c>
      <c r="J148" s="149">
        <v>459.92</v>
      </c>
      <c r="K148" s="148">
        <f ca="1">K424</f>
        <v>756.83034604269392</v>
      </c>
      <c r="L148" s="148">
        <f ca="1">L424</f>
        <v>918.22099874906621</v>
      </c>
      <c r="M148" s="148">
        <f ca="1">M424</f>
        <v>2298.3253283602271</v>
      </c>
      <c r="N148" s="148">
        <f ca="1">N424</f>
        <v>4044.1811799790385</v>
      </c>
      <c r="O148" s="148">
        <f ca="1">O424</f>
        <v>6220.2528315156378</v>
      </c>
    </row>
    <row r="149" spans="1:16" hidden="1" outlineLevel="1" x14ac:dyDescent="0.25">
      <c r="A149" s="71"/>
      <c r="B149" s="71"/>
      <c r="C149" s="71" t="s">
        <v>52</v>
      </c>
      <c r="D149" s="71"/>
      <c r="E149" s="71"/>
      <c r="F149" s="149">
        <v>-1009.93</v>
      </c>
      <c r="G149" s="149">
        <v>220.59</v>
      </c>
      <c r="H149" s="149">
        <v>-1179.6500000000001</v>
      </c>
      <c r="I149" s="149">
        <v>-2026.36</v>
      </c>
      <c r="J149" s="149">
        <v>-685.42</v>
      </c>
      <c r="K149" s="148">
        <f>-((K355-K361)+(K382-K388)+K347)</f>
        <v>888.19000000000017</v>
      </c>
      <c r="L149" s="148">
        <f>-((L355-L361)+(L382-L388)+L347)</f>
        <v>888.19000000000017</v>
      </c>
      <c r="M149" s="148">
        <f>-((M355-M361)+(M382-M388)+M347)</f>
        <v>888.19000000000017</v>
      </c>
      <c r="N149" s="148">
        <f>-((N355-N361)+(N382-N388)+N347)</f>
        <v>888.19000000000017</v>
      </c>
      <c r="O149" s="148">
        <f>-((O355-O361)+(O382-O388)+O347)</f>
        <v>888.19000000000017</v>
      </c>
    </row>
    <row r="150" spans="1:16" hidden="1" outlineLevel="1" x14ac:dyDescent="0.25">
      <c r="A150" s="71"/>
      <c r="B150" s="71"/>
      <c r="C150" s="71" t="s">
        <v>336</v>
      </c>
      <c r="D150" s="71"/>
      <c r="E150" s="71"/>
      <c r="F150" s="149"/>
      <c r="G150" s="149"/>
      <c r="H150" s="149"/>
      <c r="I150" s="149"/>
      <c r="J150" s="149"/>
      <c r="K150" s="148">
        <f>-K76</f>
        <v>-11314.52</v>
      </c>
      <c r="L150" s="148"/>
      <c r="M150" s="148"/>
      <c r="N150" s="148"/>
      <c r="O150" s="148"/>
    </row>
    <row r="151" spans="1:16" hidden="1" outlineLevel="1" x14ac:dyDescent="0.25">
      <c r="A151" s="139"/>
      <c r="B151" s="139" t="s">
        <v>54</v>
      </c>
      <c r="C151" s="139"/>
      <c r="D151" s="139"/>
      <c r="E151" s="139"/>
      <c r="F151" s="140">
        <f>SUM(F147:F149)</f>
        <v>-10106.390000000001</v>
      </c>
      <c r="G151" s="140">
        <f>SUM(G147:G149)</f>
        <v>-17045.980000000003</v>
      </c>
      <c r="H151" s="140">
        <f>SUM(H147:H149)</f>
        <v>-32898.67</v>
      </c>
      <c r="I151" s="140">
        <f>SUM(I147:I149)</f>
        <v>-43167.8</v>
      </c>
      <c r="J151" s="140">
        <f>SUM(J147:J149)</f>
        <v>-27349.39</v>
      </c>
      <c r="K151" s="157">
        <f ca="1">SUM(K147:K150)</f>
        <v>-30735.378153957306</v>
      </c>
      <c r="L151" s="157">
        <f ca="1">SUM(L147:L150)</f>
        <v>-16546.168434167776</v>
      </c>
      <c r="M151" s="157">
        <f ca="1">SUM(M147:M150)</f>
        <v>-16349.952402174704</v>
      </c>
      <c r="N151" s="157">
        <f ca="1">SUM(N147:N150)</f>
        <v>-15860.203849787829</v>
      </c>
      <c r="O151" s="157">
        <f ca="1">SUM(O147:O150)</f>
        <v>-15052.438150168824</v>
      </c>
    </row>
    <row r="152" spans="1:16" hidden="1" outlineLevel="1" x14ac:dyDescent="0.25">
      <c r="A152" s="71"/>
      <c r="B152" s="71"/>
      <c r="C152" s="71"/>
      <c r="D152" s="71"/>
      <c r="E152" s="71"/>
      <c r="F152" s="123"/>
      <c r="G152" s="123"/>
      <c r="H152" s="123"/>
      <c r="I152" s="123"/>
      <c r="J152" s="123"/>
      <c r="K152" s="148"/>
      <c r="L152" s="148"/>
      <c r="M152" s="148"/>
      <c r="N152" s="148"/>
      <c r="O152" s="148"/>
    </row>
    <row r="153" spans="1:16" hidden="1" outlineLevel="1" x14ac:dyDescent="0.25">
      <c r="A153" s="71"/>
      <c r="B153" s="71"/>
      <c r="C153" s="71"/>
      <c r="D153" s="71"/>
      <c r="E153" s="71"/>
      <c r="F153" s="123"/>
      <c r="G153" s="123"/>
      <c r="H153" s="123"/>
      <c r="I153" s="123"/>
      <c r="J153" s="123"/>
      <c r="K153" s="148"/>
      <c r="L153" s="148"/>
      <c r="M153" s="148"/>
      <c r="N153" s="148"/>
      <c r="O153" s="148"/>
    </row>
    <row r="154" spans="1:16" hidden="1" outlineLevel="1" x14ac:dyDescent="0.25">
      <c r="A154" s="71"/>
      <c r="B154" s="72" t="s">
        <v>55</v>
      </c>
      <c r="C154" s="71"/>
      <c r="D154" s="71"/>
      <c r="E154" s="71"/>
      <c r="F154" s="123"/>
      <c r="G154" s="123"/>
      <c r="H154" s="123"/>
      <c r="I154" s="123"/>
      <c r="J154" s="123"/>
      <c r="K154" s="148"/>
      <c r="L154" s="148"/>
      <c r="M154" s="148"/>
      <c r="N154" s="148"/>
      <c r="O154" s="148"/>
    </row>
    <row r="155" spans="1:16" hidden="1" outlineLevel="1" x14ac:dyDescent="0.25">
      <c r="A155" s="71"/>
      <c r="B155" s="71"/>
      <c r="C155" s="71" t="s">
        <v>56</v>
      </c>
      <c r="D155" s="71"/>
      <c r="E155" s="71"/>
      <c r="F155" s="149">
        <v>2139.5500000000002</v>
      </c>
      <c r="G155" s="149">
        <v>3403.61</v>
      </c>
      <c r="H155" s="149">
        <v>11251.39</v>
      </c>
      <c r="I155" s="149">
        <v>-37372.89</v>
      </c>
      <c r="J155" s="149">
        <v>-3263.81</v>
      </c>
      <c r="K155" s="148">
        <f>(K203+K210)-(J203+J210)</f>
        <v>-2705.2615277207678</v>
      </c>
      <c r="L155" s="148">
        <f>(L203+L210)-(K203+K210)</f>
        <v>-2043.1229546912914</v>
      </c>
      <c r="M155" s="148">
        <f>(M203+M210)-(L203+L210)</f>
        <v>-1333.4134375879407</v>
      </c>
      <c r="N155" s="148">
        <f>(N203+N210)-(M203+M210)</f>
        <v>-993.12342000000012</v>
      </c>
      <c r="O155" s="148">
        <f>(O203+O210)-(N203+N210)</f>
        <v>-393.12342000000001</v>
      </c>
    </row>
    <row r="156" spans="1:16" hidden="1" outlineLevel="1" x14ac:dyDescent="0.25">
      <c r="A156" s="71"/>
      <c r="B156" s="71"/>
      <c r="C156" s="71" t="s">
        <v>60</v>
      </c>
      <c r="D156" s="71"/>
      <c r="E156" s="71"/>
      <c r="F156" s="149">
        <v>-188.65</v>
      </c>
      <c r="G156" s="149">
        <v>-234.4</v>
      </c>
      <c r="H156" s="149">
        <v>-295.07</v>
      </c>
      <c r="I156" s="149">
        <v>-1558.65</v>
      </c>
      <c r="J156" s="149">
        <v>-1081.98</v>
      </c>
      <c r="K156" s="148">
        <f>-K467</f>
        <v>-1172.55</v>
      </c>
      <c r="L156" s="148">
        <f>-L467</f>
        <v>-1172.55</v>
      </c>
      <c r="M156" s="148">
        <f>-M467</f>
        <v>-1172.55</v>
      </c>
      <c r="N156" s="148">
        <f>-N467</f>
        <v>-1172.55</v>
      </c>
      <c r="O156" s="148">
        <f>-O467</f>
        <v>-1172.55</v>
      </c>
    </row>
    <row r="157" spans="1:16" hidden="1" outlineLevel="1" x14ac:dyDescent="0.25">
      <c r="A157" s="71"/>
      <c r="B157" s="71"/>
      <c r="C157" s="71" t="s">
        <v>61</v>
      </c>
      <c r="D157" s="71"/>
      <c r="E157" s="71"/>
      <c r="F157" s="149">
        <v>-853.66</v>
      </c>
      <c r="G157" s="149">
        <v>-7.97</v>
      </c>
      <c r="H157" s="149">
        <v>3812.66</v>
      </c>
      <c r="I157" s="149">
        <v>1856.96</v>
      </c>
      <c r="J157" s="149">
        <v>-1743.36</v>
      </c>
      <c r="K157" s="148">
        <f ca="1">K433</f>
        <v>-12722.93</v>
      </c>
      <c r="L157" s="148">
        <f ca="1">L433</f>
        <v>0</v>
      </c>
      <c r="M157" s="148">
        <f ca="1">M433</f>
        <v>0</v>
      </c>
      <c r="N157" s="148">
        <f ca="1">N433</f>
        <v>0</v>
      </c>
      <c r="O157" s="148">
        <f ca="1">O433</f>
        <v>0</v>
      </c>
    </row>
    <row r="158" spans="1:16" hidden="1" outlineLevel="1" x14ac:dyDescent="0.25">
      <c r="A158" s="71"/>
      <c r="B158" s="71"/>
      <c r="C158" s="71" t="s">
        <v>66</v>
      </c>
      <c r="D158" s="71"/>
      <c r="E158" s="71"/>
      <c r="F158" s="149">
        <v>0</v>
      </c>
      <c r="G158" s="149">
        <v>0</v>
      </c>
      <c r="H158" s="149">
        <v>47.92</v>
      </c>
      <c r="I158" s="149">
        <v>74507.7</v>
      </c>
      <c r="J158" s="149">
        <v>83.88</v>
      </c>
      <c r="K158" s="148"/>
      <c r="L158" s="148"/>
      <c r="M158" s="148"/>
      <c r="N158" s="148"/>
      <c r="O158" s="148"/>
    </row>
    <row r="159" spans="1:16" hidden="1" outlineLevel="1" x14ac:dyDescent="0.25">
      <c r="A159" s="71"/>
      <c r="B159" s="71"/>
      <c r="C159" s="71" t="s">
        <v>57</v>
      </c>
      <c r="D159" s="71"/>
      <c r="E159" s="71"/>
      <c r="F159" s="149">
        <v>-1791.48</v>
      </c>
      <c r="G159" s="149">
        <v>-1716.79</v>
      </c>
      <c r="H159" s="149">
        <v>-2694.42</v>
      </c>
      <c r="I159" s="149">
        <v>-4649.55</v>
      </c>
      <c r="J159" s="149">
        <v>-1586.84</v>
      </c>
      <c r="K159" s="148">
        <f ca="1">-K451</f>
        <v>-1538.5461177587867</v>
      </c>
      <c r="L159" s="148">
        <f ca="1">-L451</f>
        <v>-760.40855645025977</v>
      </c>
      <c r="M159" s="148">
        <f ca="1">-M451</f>
        <v>-654.47932360471532</v>
      </c>
      <c r="N159" s="148">
        <f ca="1">-N451</f>
        <v>-571.32916177448635</v>
      </c>
      <c r="O159" s="148">
        <f ca="1">-O451</f>
        <v>-530.7315392896918</v>
      </c>
      <c r="P159" s="7"/>
    </row>
    <row r="160" spans="1:16" hidden="1" outlineLevel="1" x14ac:dyDescent="0.25">
      <c r="A160" s="71"/>
      <c r="B160" s="71"/>
      <c r="C160" s="71" t="s">
        <v>58</v>
      </c>
      <c r="D160" s="71"/>
      <c r="E160" s="71"/>
      <c r="F160" s="149">
        <v>-1082.58</v>
      </c>
      <c r="G160" s="149">
        <v>-1623.87</v>
      </c>
      <c r="H160" s="149">
        <v>-2273.48</v>
      </c>
      <c r="I160" s="149">
        <v>-3248.2</v>
      </c>
      <c r="J160" s="149">
        <v>-5072.54</v>
      </c>
      <c r="K160" s="148">
        <f ca="1">-K552</f>
        <v>-3994.2742969421738</v>
      </c>
      <c r="L160" s="148">
        <f ca="1">-L552</f>
        <v>-4746.9640795466566</v>
      </c>
      <c r="M160" s="148">
        <f ca="1">-M552</f>
        <v>-5715.0613050719539</v>
      </c>
      <c r="N160" s="148">
        <f ca="1">-N552</f>
        <v>-6869.0536694075099</v>
      </c>
      <c r="O160" s="148">
        <f ca="1">-O552</f>
        <v>-8217.3482386177893</v>
      </c>
    </row>
    <row r="161" spans="1:15" hidden="1" outlineLevel="1" x14ac:dyDescent="0.25">
      <c r="A161" s="139"/>
      <c r="B161" s="139" t="s">
        <v>59</v>
      </c>
      <c r="C161" s="139"/>
      <c r="D161" s="139"/>
      <c r="E161" s="139"/>
      <c r="F161" s="140">
        <f>SUM(F155:F160)</f>
        <v>-1776.8199999999997</v>
      </c>
      <c r="G161" s="140">
        <f t="shared" ref="G161:O161" si="12">SUM(G155:G160)</f>
        <v>-179.41999999999962</v>
      </c>
      <c r="H161" s="140">
        <f t="shared" si="12"/>
        <v>9849</v>
      </c>
      <c r="I161" s="140">
        <f t="shared" si="12"/>
        <v>29535.369999999992</v>
      </c>
      <c r="J161" s="140">
        <f t="shared" si="12"/>
        <v>-12664.65</v>
      </c>
      <c r="K161" s="157">
        <f t="shared" ca="1" si="12"/>
        <v>-22133.561942421729</v>
      </c>
      <c r="L161" s="157">
        <f t="shared" ca="1" si="12"/>
        <v>-8723.0455906882071</v>
      </c>
      <c r="M161" s="157">
        <f t="shared" ca="1" si="12"/>
        <v>-8875.5040662646097</v>
      </c>
      <c r="N161" s="157">
        <f t="shared" ca="1" si="12"/>
        <v>-9606.0562511819953</v>
      </c>
      <c r="O161" s="157">
        <f t="shared" ca="1" si="12"/>
        <v>-10313.753197907481</v>
      </c>
    </row>
    <row r="162" spans="1:15" hidden="1" outlineLevel="1" x14ac:dyDescent="0.25">
      <c r="A162" s="71"/>
      <c r="B162" s="71"/>
      <c r="C162" s="71"/>
      <c r="D162" s="71"/>
      <c r="E162" s="71"/>
      <c r="F162" s="123"/>
      <c r="G162" s="123"/>
      <c r="H162" s="123"/>
      <c r="I162" s="123"/>
      <c r="J162" s="123"/>
      <c r="K162" s="148"/>
      <c r="L162" s="148"/>
      <c r="M162" s="148"/>
      <c r="N162" s="148"/>
      <c r="O162" s="148"/>
    </row>
    <row r="163" spans="1:15" hidden="1" outlineLevel="1" x14ac:dyDescent="0.25">
      <c r="A163" s="74"/>
      <c r="B163" s="155" t="s">
        <v>62</v>
      </c>
      <c r="C163" s="74"/>
      <c r="D163" s="74"/>
      <c r="E163" s="74"/>
      <c r="F163" s="124">
        <f>F143+F151+F161</f>
        <v>431.0099999999984</v>
      </c>
      <c r="G163" s="124">
        <f t="shared" ref="G163:O163" si="13">G143+G151+G161</f>
        <v>674.88999999999442</v>
      </c>
      <c r="H163" s="124">
        <f t="shared" si="13"/>
        <v>858.10999999999694</v>
      </c>
      <c r="I163" s="124">
        <f t="shared" si="13"/>
        <v>20178.53999999999</v>
      </c>
      <c r="J163" s="124">
        <f t="shared" si="13"/>
        <v>-4920.8999999999996</v>
      </c>
      <c r="K163" s="156">
        <f t="shared" ca="1" si="13"/>
        <v>-14742.141798576846</v>
      </c>
      <c r="L163" s="156">
        <f t="shared" ca="1" si="13"/>
        <v>20121.830222122611</v>
      </c>
      <c r="M163" s="156">
        <f t="shared" ca="1" si="13"/>
        <v>25881.647431582755</v>
      </c>
      <c r="N163" s="156">
        <f t="shared" ca="1" si="13"/>
        <v>32313.547622377635</v>
      </c>
      <c r="O163" s="156">
        <f t="shared" ca="1" si="13"/>
        <v>40222.174095509035</v>
      </c>
    </row>
    <row r="164" spans="1:15" hidden="1" outlineLevel="1" x14ac:dyDescent="0.25">
      <c r="A164" s="71"/>
      <c r="B164" s="71" t="s">
        <v>64</v>
      </c>
      <c r="C164" s="71"/>
      <c r="D164" s="71"/>
      <c r="E164" s="71"/>
      <c r="F164" s="149">
        <v>1045.58</v>
      </c>
      <c r="G164" s="123">
        <f t="shared" ref="G164:O164" si="14">F166</f>
        <v>1507.4999999999984</v>
      </c>
      <c r="H164" s="123">
        <f t="shared" si="14"/>
        <v>1543.3199999999929</v>
      </c>
      <c r="I164" s="123">
        <f t="shared" si="14"/>
        <v>2422.1199999999899</v>
      </c>
      <c r="J164" s="123">
        <f t="shared" si="14"/>
        <v>22662.82999999998</v>
      </c>
      <c r="K164" s="148">
        <f t="shared" si="14"/>
        <v>17841.769999999979</v>
      </c>
      <c r="L164" s="148">
        <f t="shared" ca="1" si="14"/>
        <v>3099.6282014231329</v>
      </c>
      <c r="M164" s="148">
        <f t="shared" ca="1" si="14"/>
        <v>23221.458423545744</v>
      </c>
      <c r="N164" s="148">
        <f t="shared" ca="1" si="14"/>
        <v>49103.105855128495</v>
      </c>
      <c r="O164" s="148">
        <f t="shared" ca="1" si="14"/>
        <v>81416.65347750613</v>
      </c>
    </row>
    <row r="165" spans="1:15" hidden="1" outlineLevel="1" x14ac:dyDescent="0.25">
      <c r="A165" s="71"/>
      <c r="B165" s="71" t="s">
        <v>63</v>
      </c>
      <c r="C165" s="71"/>
      <c r="D165" s="71"/>
      <c r="E165" s="71"/>
      <c r="F165" s="149">
        <v>30.91</v>
      </c>
      <c r="G165" s="149">
        <v>-639.07000000000005</v>
      </c>
      <c r="H165" s="149">
        <v>20.69</v>
      </c>
      <c r="I165" s="149">
        <v>62.17</v>
      </c>
      <c r="J165" s="149">
        <v>99.84</v>
      </c>
      <c r="K165" s="148">
        <v>0</v>
      </c>
      <c r="L165" s="148">
        <v>0</v>
      </c>
      <c r="M165" s="148">
        <v>0</v>
      </c>
      <c r="N165" s="148">
        <v>0</v>
      </c>
      <c r="O165" s="148">
        <v>0</v>
      </c>
    </row>
    <row r="166" spans="1:15" ht="15.75" hidden="1" outlineLevel="1" thickBot="1" x14ac:dyDescent="0.3">
      <c r="A166" s="163"/>
      <c r="B166" s="164" t="s">
        <v>65</v>
      </c>
      <c r="C166" s="163"/>
      <c r="D166" s="163"/>
      <c r="E166" s="163"/>
      <c r="F166" s="165">
        <f>SUM(F163:F165)</f>
        <v>1507.4999999999984</v>
      </c>
      <c r="G166" s="165">
        <f t="shared" ref="G166:O166" si="15">SUM(G163:G165)</f>
        <v>1543.3199999999929</v>
      </c>
      <c r="H166" s="165">
        <f t="shared" si="15"/>
        <v>2422.1199999999899</v>
      </c>
      <c r="I166" s="165">
        <f t="shared" si="15"/>
        <v>22662.82999999998</v>
      </c>
      <c r="J166" s="165">
        <f t="shared" si="15"/>
        <v>17841.769999999979</v>
      </c>
      <c r="K166" s="166">
        <f t="shared" ca="1" si="15"/>
        <v>3099.6282014231329</v>
      </c>
      <c r="L166" s="166">
        <f t="shared" ca="1" si="15"/>
        <v>23221.458423545744</v>
      </c>
      <c r="M166" s="166">
        <f t="shared" ca="1" si="15"/>
        <v>49103.105855128495</v>
      </c>
      <c r="N166" s="166">
        <f t="shared" ca="1" si="15"/>
        <v>81416.65347750613</v>
      </c>
      <c r="O166" s="166">
        <f t="shared" ca="1" si="15"/>
        <v>121638.82757301517</v>
      </c>
    </row>
    <row r="167" spans="1:15" ht="15.75" hidden="1" outlineLevel="1" thickTop="1" x14ac:dyDescent="0.25">
      <c r="A167" s="71"/>
      <c r="B167" s="71"/>
      <c r="C167" s="71"/>
      <c r="D167" s="71"/>
      <c r="E167" s="71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</row>
    <row r="168" spans="1:15" hidden="1" outlineLevel="1" x14ac:dyDescent="0.25">
      <c r="A168" s="71"/>
      <c r="B168" s="71"/>
      <c r="C168" s="71"/>
      <c r="D168" s="71"/>
      <c r="E168" s="71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</row>
    <row r="169" spans="1:15" collapsed="1" x14ac:dyDescent="0.25">
      <c r="A169" s="71"/>
      <c r="B169" s="71"/>
      <c r="C169" s="71"/>
      <c r="D169" s="71"/>
      <c r="E169" s="71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</row>
    <row r="170" spans="1:15" ht="25.5" x14ac:dyDescent="0.35">
      <c r="A170" s="142" t="s">
        <v>67</v>
      </c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5"/>
    </row>
    <row r="171" spans="1:15" hidden="1" outlineLevel="1" x14ac:dyDescent="0.25">
      <c r="A171" s="71"/>
      <c r="B171" s="71"/>
      <c r="C171" s="71"/>
      <c r="D171" s="71"/>
      <c r="E171" s="71"/>
      <c r="F171" s="167" t="str">
        <f>IF(F191=F219,"CHECK","ERROR")</f>
        <v>CHECK</v>
      </c>
      <c r="G171" s="167" t="str">
        <f>IF(G191=G219,"CHECK","ERROR")</f>
        <v>CHECK</v>
      </c>
      <c r="H171" s="167" t="str">
        <f>IF(H191=H219,"CHECK","ERROR")</f>
        <v>CHECK</v>
      </c>
      <c r="I171" s="167" t="str">
        <f>IF(I191=I219,"CHECK","ERROR")</f>
        <v>CHECK</v>
      </c>
      <c r="J171" s="167" t="str">
        <f>IF(J191=J219,"CHECK","ERROR")</f>
        <v>CHECK</v>
      </c>
      <c r="K171" s="167" t="str">
        <f>IF(ABS(F191-F219)&lt;1,"CHECK","ERROR")</f>
        <v>CHECK</v>
      </c>
      <c r="L171" s="167" t="str">
        <f>IF(ABS(G191-G219)&lt;1,"CHECK","ERROR")</f>
        <v>CHECK</v>
      </c>
      <c r="M171" s="167" t="str">
        <f>IF(ABS(H191-H219)&lt;1,"CHECK","ERROR")</f>
        <v>CHECK</v>
      </c>
      <c r="N171" s="167" t="str">
        <f>IF(ABS(I191-I219)&lt;1,"CHECK","ERROR")</f>
        <v>CHECK</v>
      </c>
      <c r="O171" s="167" t="str">
        <f>IF(ABS(J191-J219)&lt;1,"CHECK","ERROR")</f>
        <v>CHECK</v>
      </c>
    </row>
    <row r="172" spans="1:15" hidden="1" outlineLevel="1" x14ac:dyDescent="0.25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</row>
    <row r="173" spans="1:15" hidden="1" outlineLevel="1" x14ac:dyDescent="0.25">
      <c r="A173" s="144" t="s">
        <v>68</v>
      </c>
      <c r="B173" s="86"/>
      <c r="C173" s="86"/>
      <c r="D173" s="86"/>
      <c r="E173" s="86"/>
      <c r="F173" s="145">
        <f>G173-1</f>
        <v>2021</v>
      </c>
      <c r="G173" s="145">
        <f>H173-1</f>
        <v>2022</v>
      </c>
      <c r="H173" s="145">
        <f>I173-1</f>
        <v>2023</v>
      </c>
      <c r="I173" s="145">
        <f>J173-1</f>
        <v>2024</v>
      </c>
      <c r="J173" s="145">
        <f>K173-1</f>
        <v>2025</v>
      </c>
      <c r="K173" s="146">
        <f>K$82</f>
        <v>2026</v>
      </c>
      <c r="L173" s="146">
        <f>L$82</f>
        <v>2027</v>
      </c>
      <c r="M173" s="146">
        <f>M$82</f>
        <v>2028</v>
      </c>
      <c r="N173" s="146">
        <f>N$82</f>
        <v>2029</v>
      </c>
      <c r="O173" s="146">
        <f>O$82</f>
        <v>2030</v>
      </c>
    </row>
    <row r="174" spans="1:15" hidden="1" outlineLevel="1" x14ac:dyDescent="0.25">
      <c r="A174" s="71"/>
      <c r="B174" s="72" t="s">
        <v>69</v>
      </c>
      <c r="C174" s="71"/>
      <c r="D174" s="71"/>
      <c r="E174" s="71"/>
      <c r="F174" s="71"/>
      <c r="G174" s="71"/>
      <c r="H174" s="71"/>
      <c r="I174" s="71"/>
      <c r="J174" s="71"/>
      <c r="K174" s="147"/>
      <c r="L174" s="147"/>
      <c r="M174" s="147"/>
      <c r="N174" s="147"/>
      <c r="O174" s="147"/>
    </row>
    <row r="175" spans="1:15" hidden="1" outlineLevel="1" x14ac:dyDescent="0.25">
      <c r="A175" s="71"/>
      <c r="B175" s="71"/>
      <c r="C175" s="71" t="s">
        <v>70</v>
      </c>
      <c r="D175" s="71"/>
      <c r="E175" s="71"/>
      <c r="F175" s="149">
        <v>56517.8</v>
      </c>
      <c r="G175" s="149">
        <v>60482.1</v>
      </c>
      <c r="H175" s="149">
        <v>87253.54</v>
      </c>
      <c r="I175" s="149">
        <v>117848.94</v>
      </c>
      <c r="J175" s="149">
        <v>141036.71</v>
      </c>
      <c r="K175" s="148">
        <f>K408</f>
        <v>151255.81906708315</v>
      </c>
      <c r="L175" s="148">
        <f>L408</f>
        <v>154696.2407694651</v>
      </c>
      <c r="M175" s="148">
        <f>M408</f>
        <v>158340.06847023312</v>
      </c>
      <c r="N175" s="148">
        <f>N408</f>
        <v>162161.10376831554</v>
      </c>
      <c r="O175" s="148">
        <f>O408</f>
        <v>166179.07530906936</v>
      </c>
    </row>
    <row r="176" spans="1:15" hidden="1" outlineLevel="1" x14ac:dyDescent="0.25">
      <c r="A176" s="71"/>
      <c r="B176" s="71"/>
      <c r="C176" s="71" t="s">
        <v>71</v>
      </c>
      <c r="D176" s="71"/>
      <c r="E176" s="71"/>
      <c r="F176" s="149">
        <v>5727.99</v>
      </c>
      <c r="G176" s="149">
        <v>9155.01</v>
      </c>
      <c r="H176" s="149">
        <v>10347.07</v>
      </c>
      <c r="I176" s="149">
        <v>13631.22</v>
      </c>
      <c r="J176" s="149">
        <v>13690.47</v>
      </c>
      <c r="K176" s="148">
        <f>K466</f>
        <v>13690.47</v>
      </c>
      <c r="L176" s="148">
        <f>L466</f>
        <v>13690.47</v>
      </c>
      <c r="M176" s="148">
        <f>M466</f>
        <v>13690.47</v>
      </c>
      <c r="N176" s="148">
        <f>N466</f>
        <v>13690.47</v>
      </c>
      <c r="O176" s="148">
        <f>O466</f>
        <v>13690.47</v>
      </c>
    </row>
    <row r="177" spans="1:21" hidden="1" outlineLevel="1" x14ac:dyDescent="0.25">
      <c r="A177" s="71"/>
      <c r="B177" s="71"/>
      <c r="C177" s="71" t="s">
        <v>293</v>
      </c>
      <c r="D177" s="71"/>
      <c r="E177" s="71"/>
      <c r="F177" s="149">
        <v>242.3</v>
      </c>
      <c r="G177" s="149">
        <v>242.3</v>
      </c>
      <c r="H177" s="149">
        <v>242.3</v>
      </c>
      <c r="I177" s="149">
        <v>3009.37</v>
      </c>
      <c r="J177" s="149">
        <v>3542.13</v>
      </c>
      <c r="K177" s="148">
        <f>K471</f>
        <v>8231.32</v>
      </c>
      <c r="L177" s="148">
        <f>L471</f>
        <v>8231.32</v>
      </c>
      <c r="M177" s="148">
        <f>M471</f>
        <v>8231.32</v>
      </c>
      <c r="N177" s="148">
        <f>N471</f>
        <v>8231.32</v>
      </c>
      <c r="O177" s="148">
        <f>O471</f>
        <v>8231.32</v>
      </c>
    </row>
    <row r="178" spans="1:21" hidden="1" outlineLevel="1" x14ac:dyDescent="0.25">
      <c r="A178" s="71"/>
      <c r="B178" s="71"/>
      <c r="C178" s="71" t="s">
        <v>294</v>
      </c>
      <c r="D178" s="71"/>
      <c r="E178" s="71"/>
      <c r="F178" s="149">
        <v>5585.74</v>
      </c>
      <c r="G178" s="149">
        <v>5509.1</v>
      </c>
      <c r="H178" s="149">
        <v>5471</v>
      </c>
      <c r="I178" s="149">
        <v>11194.95</v>
      </c>
      <c r="J178" s="149">
        <v>12027.83</v>
      </c>
      <c r="K178" s="148">
        <f>K492</f>
        <v>15079.626547260672</v>
      </c>
      <c r="L178" s="148">
        <f>L492</f>
        <v>14357.966242286555</v>
      </c>
      <c r="M178" s="148">
        <f>M492</f>
        <v>13636.305937312438</v>
      </c>
      <c r="N178" s="148">
        <f>N492</f>
        <v>12914.645632338321</v>
      </c>
      <c r="O178" s="148">
        <f>O492</f>
        <v>12192.985327364204</v>
      </c>
    </row>
    <row r="179" spans="1:21" hidden="1" outlineLevel="1" x14ac:dyDescent="0.25">
      <c r="A179" s="71"/>
      <c r="B179" s="71"/>
      <c r="C179" s="71" t="s">
        <v>72</v>
      </c>
      <c r="D179" s="71"/>
      <c r="E179" s="71"/>
      <c r="F179" s="149">
        <v>420.64</v>
      </c>
      <c r="G179" s="149">
        <v>486.85</v>
      </c>
      <c r="H179" s="149">
        <v>833.5</v>
      </c>
      <c r="I179" s="149">
        <v>1801.15</v>
      </c>
      <c r="J179" s="149">
        <v>3132.04</v>
      </c>
      <c r="K179" s="148">
        <f>J179</f>
        <v>3132.04</v>
      </c>
      <c r="L179" s="148">
        <f>K179</f>
        <v>3132.04</v>
      </c>
      <c r="M179" s="148">
        <f>L179</f>
        <v>3132.04</v>
      </c>
      <c r="N179" s="148">
        <f>M179</f>
        <v>3132.04</v>
      </c>
      <c r="O179" s="148">
        <f>N179</f>
        <v>3132.04</v>
      </c>
    </row>
    <row r="180" spans="1:21" hidden="1" outlineLevel="1" x14ac:dyDescent="0.25">
      <c r="A180" s="71"/>
      <c r="B180" s="71"/>
      <c r="C180" s="71" t="s">
        <v>73</v>
      </c>
      <c r="D180" s="71"/>
      <c r="E180" s="71"/>
      <c r="F180" s="149">
        <v>1863.3</v>
      </c>
      <c r="G180" s="149">
        <v>6266.77</v>
      </c>
      <c r="H180" s="149">
        <v>5368.12</v>
      </c>
      <c r="I180" s="149">
        <v>5313.73</v>
      </c>
      <c r="J180" s="149">
        <v>3261.95</v>
      </c>
      <c r="K180" s="148">
        <f>K465</f>
        <v>3920.2906085960408</v>
      </c>
      <c r="L180" s="148">
        <f>L465</f>
        <v>4468.9859634971408</v>
      </c>
      <c r="M180" s="148">
        <f>M465</f>
        <v>5113.0458838618988</v>
      </c>
      <c r="N180" s="148">
        <f>N465</f>
        <v>5870.1792609168024</v>
      </c>
      <c r="O180" s="148">
        <f>O465</f>
        <v>6742.6552233478787</v>
      </c>
    </row>
    <row r="181" spans="1:21" hidden="1" outlineLevel="1" x14ac:dyDescent="0.25">
      <c r="A181" s="139"/>
      <c r="B181" s="139"/>
      <c r="C181" s="168" t="s">
        <v>77</v>
      </c>
      <c r="D181" s="139"/>
      <c r="E181" s="139"/>
      <c r="F181" s="140">
        <f t="shared" ref="F181:O181" si="16">SUM(F175:F180)</f>
        <v>70357.77</v>
      </c>
      <c r="G181" s="140">
        <f t="shared" si="16"/>
        <v>82142.130000000019</v>
      </c>
      <c r="H181" s="140">
        <f t="shared" si="16"/>
        <v>109515.52999999998</v>
      </c>
      <c r="I181" s="140">
        <f t="shared" si="16"/>
        <v>152799.36000000002</v>
      </c>
      <c r="J181" s="140">
        <f t="shared" si="16"/>
        <v>176691.13</v>
      </c>
      <c r="K181" s="157">
        <f t="shared" si="16"/>
        <v>195309.56622293987</v>
      </c>
      <c r="L181" s="157">
        <f t="shared" si="16"/>
        <v>198577.02297524881</v>
      </c>
      <c r="M181" s="157">
        <f t="shared" si="16"/>
        <v>202143.25029140746</v>
      </c>
      <c r="N181" s="157">
        <f t="shared" si="16"/>
        <v>205999.7586615707</v>
      </c>
      <c r="O181" s="157">
        <f t="shared" si="16"/>
        <v>210168.54585978147</v>
      </c>
    </row>
    <row r="182" spans="1:21" hidden="1" outlineLevel="1" x14ac:dyDescent="0.25">
      <c r="A182" s="71"/>
      <c r="B182" s="71"/>
      <c r="C182" s="71"/>
      <c r="D182" s="71"/>
      <c r="E182" s="71"/>
      <c r="F182" s="123"/>
      <c r="G182" s="123"/>
      <c r="H182" s="123"/>
      <c r="I182" s="123"/>
      <c r="J182" s="123"/>
      <c r="K182" s="148"/>
      <c r="L182" s="148"/>
      <c r="M182" s="148"/>
      <c r="N182" s="148"/>
      <c r="O182" s="148"/>
    </row>
    <row r="183" spans="1:21" hidden="1" outlineLevel="1" x14ac:dyDescent="0.25">
      <c r="A183" s="71"/>
      <c r="B183" s="72" t="s">
        <v>74</v>
      </c>
      <c r="C183" s="71"/>
      <c r="D183" s="71"/>
      <c r="E183" s="71"/>
      <c r="F183" s="123"/>
      <c r="G183" s="123"/>
      <c r="H183" s="123"/>
      <c r="I183" s="123"/>
      <c r="J183" s="123"/>
      <c r="K183" s="148"/>
      <c r="L183" s="148"/>
      <c r="M183" s="148"/>
      <c r="N183" s="148"/>
      <c r="O183" s="148"/>
    </row>
    <row r="184" spans="1:21" hidden="1" outlineLevel="1" x14ac:dyDescent="0.25">
      <c r="A184" s="71"/>
      <c r="B184" s="71"/>
      <c r="C184" s="71" t="s">
        <v>43</v>
      </c>
      <c r="D184" s="71"/>
      <c r="E184" s="71"/>
      <c r="F184" s="149">
        <v>14480.87</v>
      </c>
      <c r="G184" s="149">
        <v>19938.849999999999</v>
      </c>
      <c r="H184" s="149">
        <v>21505.33</v>
      </c>
      <c r="I184" s="149">
        <v>27912.34</v>
      </c>
      <c r="J184" s="149">
        <v>29517.89</v>
      </c>
      <c r="K184" s="148">
        <f>K289</f>
        <v>36582.64019262197</v>
      </c>
      <c r="L184" s="148">
        <f>L289</f>
        <v>41702.853653250728</v>
      </c>
      <c r="M184" s="148">
        <f>M289</f>
        <v>47712.972463710707</v>
      </c>
      <c r="N184" s="148">
        <f>N289</f>
        <v>54778.249167914961</v>
      </c>
      <c r="O184" s="148">
        <f>O289</f>
        <v>62919.858399725999</v>
      </c>
    </row>
    <row r="185" spans="1:21" hidden="1" outlineLevel="1" x14ac:dyDescent="0.25">
      <c r="A185" s="71"/>
      <c r="B185" s="71"/>
      <c r="C185" s="71" t="s">
        <v>44</v>
      </c>
      <c r="D185" s="71"/>
      <c r="E185" s="71"/>
      <c r="F185" s="149">
        <v>2212.4899999999998</v>
      </c>
      <c r="G185" s="149">
        <v>2993.38</v>
      </c>
      <c r="H185" s="149">
        <v>3593.85</v>
      </c>
      <c r="I185" s="149">
        <v>8458.42</v>
      </c>
      <c r="J185" s="149">
        <v>12490.31</v>
      </c>
      <c r="K185" s="148">
        <f>K288</f>
        <v>15011.157433882559</v>
      </c>
      <c r="L185" s="148">
        <f>L288</f>
        <v>17112.162991378769</v>
      </c>
      <c r="M185" s="148">
        <f>M288</f>
        <v>19578.328341531633</v>
      </c>
      <c r="N185" s="148">
        <f>N288</f>
        <v>22477.462476255536</v>
      </c>
      <c r="O185" s="148">
        <f>O288</f>
        <v>25818.254100379909</v>
      </c>
      <c r="Q185" s="6"/>
      <c r="R185" s="6"/>
      <c r="S185" s="6"/>
      <c r="T185" s="6"/>
      <c r="U185" s="6"/>
    </row>
    <row r="186" spans="1:21" hidden="1" outlineLevel="1" x14ac:dyDescent="0.25">
      <c r="A186" s="71"/>
      <c r="B186" s="71"/>
      <c r="C186" s="71" t="s">
        <v>75</v>
      </c>
      <c r="D186" s="71"/>
      <c r="E186" s="71"/>
      <c r="F186" s="149">
        <v>1507.5</v>
      </c>
      <c r="G186" s="149">
        <v>1543.32</v>
      </c>
      <c r="H186" s="149">
        <v>2422.12</v>
      </c>
      <c r="I186" s="149">
        <v>22662.83</v>
      </c>
      <c r="J186" s="149">
        <v>17841.77</v>
      </c>
      <c r="K186" s="148">
        <f ca="1">K166</f>
        <v>3099.6282014231329</v>
      </c>
      <c r="L186" s="148">
        <f ca="1">L166</f>
        <v>23221.458423545744</v>
      </c>
      <c r="M186" s="148">
        <f ca="1">M166</f>
        <v>49103.105855128495</v>
      </c>
      <c r="N186" s="148">
        <f ca="1">N166</f>
        <v>81416.65347750613</v>
      </c>
      <c r="O186" s="148">
        <f ca="1">O166</f>
        <v>121638.82757301517</v>
      </c>
    </row>
    <row r="187" spans="1:21" hidden="1" outlineLevel="1" x14ac:dyDescent="0.25">
      <c r="A187" s="71"/>
      <c r="B187" s="71"/>
      <c r="C187" s="71" t="s">
        <v>317</v>
      </c>
      <c r="D187" s="71"/>
      <c r="E187" s="71"/>
      <c r="F187" s="149">
        <v>1858.72</v>
      </c>
      <c r="G187" s="149">
        <v>1309.3499999999999</v>
      </c>
      <c r="H187" s="149">
        <v>2176.5</v>
      </c>
      <c r="I187" s="149">
        <v>1837.71</v>
      </c>
      <c r="J187" s="149">
        <v>2143.14</v>
      </c>
      <c r="K187" s="148">
        <f>J187</f>
        <v>2143.14</v>
      </c>
      <c r="L187" s="148">
        <f>K187</f>
        <v>2143.14</v>
      </c>
      <c r="M187" s="148">
        <f>L187</f>
        <v>2143.14</v>
      </c>
      <c r="N187" s="148">
        <f>M187</f>
        <v>2143.14</v>
      </c>
      <c r="O187" s="148">
        <f>N187</f>
        <v>2143.14</v>
      </c>
    </row>
    <row r="188" spans="1:21" hidden="1" outlineLevel="1" x14ac:dyDescent="0.25">
      <c r="A188" s="71"/>
      <c r="B188" s="71"/>
      <c r="C188" s="71" t="s">
        <v>76</v>
      </c>
      <c r="D188" s="71"/>
      <c r="E188" s="71"/>
      <c r="F188" s="149">
        <v>5401.55</v>
      </c>
      <c r="G188" s="149">
        <v>8255.4</v>
      </c>
      <c r="H188" s="149">
        <v>12658.5</v>
      </c>
      <c r="I188" s="149">
        <v>17768.439999999999</v>
      </c>
      <c r="J188" s="149">
        <v>16900.919999999998</v>
      </c>
      <c r="K188" s="148">
        <f>K290</f>
        <v>20311.93548418369</v>
      </c>
      <c r="L188" s="148">
        <f>L290</f>
        <v>23154.853461943956</v>
      </c>
      <c r="M188" s="148">
        <f>M290</f>
        <v>26491.877386066379</v>
      </c>
      <c r="N188" s="148">
        <f>N290</f>
        <v>30414.761131965231</v>
      </c>
      <c r="O188" s="148">
        <f>O290</f>
        <v>34935.261581993778</v>
      </c>
    </row>
    <row r="189" spans="1:21" hidden="1" outlineLevel="1" x14ac:dyDescent="0.25">
      <c r="A189" s="139"/>
      <c r="B189" s="139"/>
      <c r="C189" s="169" t="s">
        <v>78</v>
      </c>
      <c r="D189" s="139"/>
      <c r="E189" s="139"/>
      <c r="F189" s="140">
        <f>SUM(F184:F188)</f>
        <v>25461.13</v>
      </c>
      <c r="G189" s="140">
        <f t="shared" ref="G189:O189" si="17">SUM(G184:G188)</f>
        <v>34040.299999999996</v>
      </c>
      <c r="H189" s="140">
        <f t="shared" si="17"/>
        <v>42356.3</v>
      </c>
      <c r="I189" s="140">
        <f t="shared" si="17"/>
        <v>78639.740000000005</v>
      </c>
      <c r="J189" s="140">
        <f t="shared" si="17"/>
        <v>78894.03</v>
      </c>
      <c r="K189" s="157">
        <f t="shared" ca="1" si="17"/>
        <v>77148.501312111359</v>
      </c>
      <c r="L189" s="157">
        <f t="shared" ca="1" si="17"/>
        <v>107334.46853011919</v>
      </c>
      <c r="M189" s="157">
        <f t="shared" ca="1" si="17"/>
        <v>145029.4240464372</v>
      </c>
      <c r="N189" s="157">
        <f t="shared" ca="1" si="17"/>
        <v>191230.26625364189</v>
      </c>
      <c r="O189" s="157">
        <f t="shared" ca="1" si="17"/>
        <v>247455.34165511487</v>
      </c>
    </row>
    <row r="190" spans="1:21" hidden="1" outlineLevel="1" x14ac:dyDescent="0.25">
      <c r="A190" s="79"/>
      <c r="B190" s="79"/>
      <c r="C190" s="170" t="s">
        <v>108</v>
      </c>
      <c r="D190" s="79"/>
      <c r="E190" s="79"/>
      <c r="F190" s="171">
        <v>0</v>
      </c>
      <c r="G190" s="171">
        <v>0</v>
      </c>
      <c r="H190" s="171">
        <v>0</v>
      </c>
      <c r="I190" s="171">
        <v>0</v>
      </c>
      <c r="J190" s="171">
        <v>66.400000000000006</v>
      </c>
      <c r="K190" s="161">
        <f>J190</f>
        <v>66.400000000000006</v>
      </c>
      <c r="L190" s="161">
        <f>K190</f>
        <v>66.400000000000006</v>
      </c>
      <c r="M190" s="161">
        <f>L190</f>
        <v>66.400000000000006</v>
      </c>
      <c r="N190" s="161">
        <f>M190</f>
        <v>66.400000000000006</v>
      </c>
      <c r="O190" s="161">
        <f>N190</f>
        <v>66.400000000000006</v>
      </c>
    </row>
    <row r="191" spans="1:21" hidden="1" outlineLevel="1" x14ac:dyDescent="0.25">
      <c r="A191" s="71"/>
      <c r="B191" s="71"/>
      <c r="C191" s="172" t="s">
        <v>79</v>
      </c>
      <c r="D191" s="71"/>
      <c r="E191" s="71"/>
      <c r="F191" s="123">
        <f>F181+F189</f>
        <v>95818.900000000009</v>
      </c>
      <c r="G191" s="123">
        <f>G181+G189</f>
        <v>116182.43000000002</v>
      </c>
      <c r="H191" s="123">
        <f>H181+H189</f>
        <v>151871.82999999999</v>
      </c>
      <c r="I191" s="123">
        <f>I181+I189</f>
        <v>231439.10000000003</v>
      </c>
      <c r="J191" s="123">
        <f t="shared" ref="J191:O191" si="18">J181+J189+J190</f>
        <v>255651.56</v>
      </c>
      <c r="K191" s="148">
        <f t="shared" ca="1" si="18"/>
        <v>272524.46753505128</v>
      </c>
      <c r="L191" s="148">
        <f t="shared" ca="1" si="18"/>
        <v>305977.89150536805</v>
      </c>
      <c r="M191" s="148">
        <f t="shared" ca="1" si="18"/>
        <v>347239.07433784468</v>
      </c>
      <c r="N191" s="148">
        <f t="shared" ca="1" si="18"/>
        <v>397296.42491521261</v>
      </c>
      <c r="O191" s="148">
        <f t="shared" ca="1" si="18"/>
        <v>457690.28751489636</v>
      </c>
    </row>
    <row r="192" spans="1:21" hidden="1" outlineLevel="1" x14ac:dyDescent="0.25">
      <c r="A192" s="71"/>
      <c r="B192" s="71"/>
      <c r="C192" s="71"/>
      <c r="D192" s="71"/>
      <c r="E192" s="71"/>
      <c r="F192" s="123"/>
      <c r="G192" s="123"/>
      <c r="H192" s="123"/>
      <c r="I192" s="123"/>
      <c r="J192" s="123"/>
      <c r="K192" s="148"/>
      <c r="L192" s="148"/>
      <c r="M192" s="148"/>
      <c r="N192" s="148"/>
      <c r="O192" s="148"/>
    </row>
    <row r="193" spans="1:15" hidden="1" outlineLevel="1" x14ac:dyDescent="0.25">
      <c r="A193" s="71"/>
      <c r="B193" s="72" t="s">
        <v>80</v>
      </c>
      <c r="C193" s="71"/>
      <c r="D193" s="71"/>
      <c r="E193" s="71"/>
      <c r="F193" s="123"/>
      <c r="G193" s="123"/>
      <c r="H193" s="123"/>
      <c r="I193" s="123"/>
      <c r="J193" s="123"/>
      <c r="K193" s="148"/>
      <c r="L193" s="148"/>
      <c r="M193" s="148"/>
      <c r="N193" s="148"/>
      <c r="O193" s="148"/>
    </row>
    <row r="194" spans="1:15" hidden="1" outlineLevel="1" x14ac:dyDescent="0.25">
      <c r="A194" s="71"/>
      <c r="B194" s="72" t="s">
        <v>81</v>
      </c>
      <c r="C194" s="71"/>
      <c r="D194" s="71"/>
      <c r="E194" s="71"/>
      <c r="F194" s="123"/>
      <c r="G194" s="123"/>
      <c r="H194" s="123"/>
      <c r="I194" s="123"/>
      <c r="J194" s="123"/>
      <c r="K194" s="148"/>
      <c r="L194" s="148"/>
      <c r="M194" s="148"/>
      <c r="N194" s="148"/>
      <c r="O194" s="148"/>
    </row>
    <row r="195" spans="1:15" hidden="1" outlineLevel="1" x14ac:dyDescent="0.25">
      <c r="A195" s="71"/>
      <c r="B195" s="71"/>
      <c r="C195" s="71" t="s">
        <v>91</v>
      </c>
      <c r="D195" s="71"/>
      <c r="E195" s="71"/>
      <c r="F195" s="149">
        <v>4330.33</v>
      </c>
      <c r="G195" s="149">
        <v>6495.5</v>
      </c>
      <c r="H195" s="149">
        <v>6496.07</v>
      </c>
      <c r="I195" s="149">
        <v>6763.02</v>
      </c>
      <c r="J195" s="149">
        <v>6763.98</v>
      </c>
      <c r="K195" s="148">
        <f>J195</f>
        <v>6763.98</v>
      </c>
      <c r="L195" s="148">
        <f>K195</f>
        <v>6763.98</v>
      </c>
      <c r="M195" s="148">
        <f>L195</f>
        <v>6763.98</v>
      </c>
      <c r="N195" s="148">
        <f>M195</f>
        <v>6763.98</v>
      </c>
      <c r="O195" s="148">
        <f>N195</f>
        <v>6763.98</v>
      </c>
    </row>
    <row r="196" spans="1:15" hidden="1" outlineLevel="1" x14ac:dyDescent="0.25">
      <c r="A196" s="71"/>
      <c r="B196" s="71"/>
      <c r="C196" s="71" t="s">
        <v>92</v>
      </c>
      <c r="D196" s="71"/>
      <c r="E196" s="71"/>
      <c r="F196" s="149">
        <v>36468.75</v>
      </c>
      <c r="G196" s="149">
        <v>44528.3</v>
      </c>
      <c r="H196" s="149">
        <v>62868.91</v>
      </c>
      <c r="I196" s="149">
        <v>159335.26999999999</v>
      </c>
      <c r="J196" s="149">
        <v>189023.06</v>
      </c>
      <c r="K196" s="148">
        <f ca="1">K554</f>
        <v>214950.99201781375</v>
      </c>
      <c r="L196" s="148">
        <f ca="1">L554</f>
        <v>245764.84024043404</v>
      </c>
      <c r="M196" s="148">
        <f ca="1">M554</f>
        <v>282862.87357003865</v>
      </c>
      <c r="N196" s="148">
        <f ca="1">N554</f>
        <v>327451.78843336116</v>
      </c>
      <c r="O196" s="148">
        <f ca="1">O554</f>
        <v>380792.85383307381</v>
      </c>
    </row>
    <row r="197" spans="1:15" hidden="1" outlineLevel="1" x14ac:dyDescent="0.25">
      <c r="A197" s="74"/>
      <c r="B197" s="155" t="s">
        <v>93</v>
      </c>
      <c r="C197" s="74"/>
      <c r="D197" s="74"/>
      <c r="E197" s="74"/>
      <c r="F197" s="124">
        <f>F196+F195</f>
        <v>40799.08</v>
      </c>
      <c r="G197" s="124">
        <f t="shared" ref="G197:O197" si="19">G196+G195</f>
        <v>51023.8</v>
      </c>
      <c r="H197" s="124">
        <f t="shared" si="19"/>
        <v>69364.98000000001</v>
      </c>
      <c r="I197" s="124">
        <f t="shared" si="19"/>
        <v>166098.28999999998</v>
      </c>
      <c r="J197" s="124">
        <f t="shared" si="19"/>
        <v>195787.04</v>
      </c>
      <c r="K197" s="156">
        <f t="shared" ca="1" si="19"/>
        <v>221714.97201781376</v>
      </c>
      <c r="L197" s="156">
        <f t="shared" ca="1" si="19"/>
        <v>252528.82024043406</v>
      </c>
      <c r="M197" s="156">
        <f t="shared" ca="1" si="19"/>
        <v>289626.85357003863</v>
      </c>
      <c r="N197" s="156">
        <f t="shared" ca="1" si="19"/>
        <v>334215.76843336114</v>
      </c>
      <c r="O197" s="156">
        <f t="shared" ca="1" si="19"/>
        <v>387556.83383307379</v>
      </c>
    </row>
    <row r="198" spans="1:15" hidden="1" outlineLevel="1" x14ac:dyDescent="0.25">
      <c r="A198" s="86"/>
      <c r="B198" s="86"/>
      <c r="C198" s="86" t="s">
        <v>94</v>
      </c>
      <c r="D198" s="86"/>
      <c r="E198" s="86"/>
      <c r="F198" s="151">
        <v>1167.8900000000001</v>
      </c>
      <c r="G198" s="151">
        <v>1131.07</v>
      </c>
      <c r="H198" s="151">
        <v>1481.55</v>
      </c>
      <c r="I198" s="151">
        <v>1298.07</v>
      </c>
      <c r="J198" s="151">
        <v>1622.51</v>
      </c>
      <c r="K198" s="152">
        <f>J198</f>
        <v>1622.51</v>
      </c>
      <c r="L198" s="152">
        <f>K198</f>
        <v>1622.51</v>
      </c>
      <c r="M198" s="152">
        <f>L198</f>
        <v>1622.51</v>
      </c>
      <c r="N198" s="152">
        <f>M198</f>
        <v>1622.51</v>
      </c>
      <c r="O198" s="152">
        <f>N198</f>
        <v>1622.51</v>
      </c>
    </row>
    <row r="199" spans="1:15" hidden="1" outlineLevel="1" x14ac:dyDescent="0.25">
      <c r="A199" s="71"/>
      <c r="B199" s="71"/>
      <c r="C199" s="173" t="s">
        <v>95</v>
      </c>
      <c r="D199" s="71"/>
      <c r="E199" s="71"/>
      <c r="F199" s="123">
        <f>F197+F198</f>
        <v>41966.97</v>
      </c>
      <c r="G199" s="123">
        <f t="shared" ref="G199:O199" si="20">G197+G198</f>
        <v>52154.87</v>
      </c>
      <c r="H199" s="123">
        <f t="shared" si="20"/>
        <v>70846.530000000013</v>
      </c>
      <c r="I199" s="123">
        <f t="shared" si="20"/>
        <v>167396.35999999999</v>
      </c>
      <c r="J199" s="123">
        <f t="shared" si="20"/>
        <v>197409.55000000002</v>
      </c>
      <c r="K199" s="148">
        <f t="shared" ca="1" si="20"/>
        <v>223337.48201781377</v>
      </c>
      <c r="L199" s="148">
        <f t="shared" ca="1" si="20"/>
        <v>254151.33024043406</v>
      </c>
      <c r="M199" s="148">
        <f t="shared" ca="1" si="20"/>
        <v>291249.36357003864</v>
      </c>
      <c r="N199" s="148">
        <f t="shared" ca="1" si="20"/>
        <v>335838.27843336115</v>
      </c>
      <c r="O199" s="148">
        <f t="shared" ca="1" si="20"/>
        <v>389179.3438330738</v>
      </c>
    </row>
    <row r="200" spans="1:15" hidden="1" outlineLevel="1" x14ac:dyDescent="0.25">
      <c r="A200" s="71"/>
      <c r="B200" s="71"/>
      <c r="C200" s="71"/>
      <c r="D200" s="71"/>
      <c r="E200" s="71"/>
      <c r="F200" s="123"/>
      <c r="G200" s="123"/>
      <c r="H200" s="123"/>
      <c r="I200" s="123"/>
      <c r="J200" s="123"/>
      <c r="K200" s="148"/>
      <c r="L200" s="148"/>
      <c r="M200" s="148"/>
      <c r="N200" s="148"/>
      <c r="O200" s="148"/>
    </row>
    <row r="201" spans="1:15" hidden="1" outlineLevel="1" x14ac:dyDescent="0.25">
      <c r="A201" s="71"/>
      <c r="B201" s="72" t="s">
        <v>96</v>
      </c>
      <c r="C201" s="71"/>
      <c r="D201" s="71"/>
      <c r="E201" s="71"/>
      <c r="F201" s="123"/>
      <c r="G201" s="123"/>
      <c r="H201" s="123"/>
      <c r="I201" s="123"/>
      <c r="J201" s="123"/>
      <c r="K201" s="148"/>
      <c r="L201" s="148"/>
      <c r="M201" s="148"/>
      <c r="N201" s="148"/>
      <c r="O201" s="148"/>
    </row>
    <row r="202" spans="1:15" hidden="1" outlineLevel="1" x14ac:dyDescent="0.25">
      <c r="A202" s="71"/>
      <c r="B202" s="72" t="s">
        <v>97</v>
      </c>
      <c r="C202" s="71"/>
      <c r="D202" s="71"/>
      <c r="E202" s="71"/>
      <c r="F202" s="123"/>
      <c r="G202" s="123"/>
      <c r="H202" s="123"/>
      <c r="I202" s="123"/>
      <c r="J202" s="123"/>
      <c r="K202" s="148"/>
      <c r="L202" s="148"/>
      <c r="M202" s="148"/>
      <c r="N202" s="148"/>
      <c r="O202" s="148"/>
    </row>
    <row r="203" spans="1:15" hidden="1" outlineLevel="1" x14ac:dyDescent="0.25">
      <c r="A203" s="71"/>
      <c r="B203" s="71"/>
      <c r="C203" s="71" t="s">
        <v>98</v>
      </c>
      <c r="D203" s="71"/>
      <c r="E203" s="71"/>
      <c r="F203" s="149">
        <v>18133.27</v>
      </c>
      <c r="G203" s="149">
        <v>17270.22</v>
      </c>
      <c r="H203" s="149">
        <v>31889.38</v>
      </c>
      <c r="I203" s="149">
        <v>8406.89</v>
      </c>
      <c r="J203" s="149">
        <v>5404.49</v>
      </c>
      <c r="K203" s="148">
        <f>K441</f>
        <v>2770.448269525571</v>
      </c>
      <c r="L203" s="148">
        <f>L441</f>
        <v>1435.4118184875047</v>
      </c>
      <c r="M203" s="148">
        <f>M441</f>
        <v>443.33866000000023</v>
      </c>
      <c r="N203" s="148">
        <f>N441</f>
        <v>50.215240000000108</v>
      </c>
      <c r="O203" s="148">
        <f>O441</f>
        <v>1.1368683772161603E-13</v>
      </c>
    </row>
    <row r="204" spans="1:15" hidden="1" outlineLevel="1" x14ac:dyDescent="0.25">
      <c r="A204" s="71"/>
      <c r="B204" s="71"/>
      <c r="C204" s="71" t="s">
        <v>99</v>
      </c>
      <c r="D204" s="71"/>
      <c r="E204" s="71"/>
      <c r="F204" s="149">
        <v>312.63</v>
      </c>
      <c r="G204" s="149">
        <v>1654.25</v>
      </c>
      <c r="H204" s="149">
        <v>1978.85</v>
      </c>
      <c r="I204" s="149">
        <v>3570.86</v>
      </c>
      <c r="J204" s="149">
        <v>3997.96</v>
      </c>
      <c r="K204" s="148">
        <f>J204</f>
        <v>3997.96</v>
      </c>
      <c r="L204" s="148">
        <f>K204</f>
        <v>3997.96</v>
      </c>
      <c r="M204" s="148">
        <f>L204</f>
        <v>3997.96</v>
      </c>
      <c r="N204" s="148">
        <f>M204</f>
        <v>3997.96</v>
      </c>
      <c r="O204" s="148">
        <f>N204</f>
        <v>3997.96</v>
      </c>
    </row>
    <row r="205" spans="1:15" hidden="1" outlineLevel="1" x14ac:dyDescent="0.25">
      <c r="A205" s="86"/>
      <c r="B205" s="86"/>
      <c r="C205" s="86" t="s">
        <v>100</v>
      </c>
      <c r="D205" s="86"/>
      <c r="E205" s="86"/>
      <c r="F205" s="151">
        <v>5203.57</v>
      </c>
      <c r="G205" s="151">
        <v>5415.55</v>
      </c>
      <c r="H205" s="151">
        <v>5624.95</v>
      </c>
      <c r="I205" s="151">
        <v>6820.74</v>
      </c>
      <c r="J205" s="151">
        <v>8100.11</v>
      </c>
      <c r="K205" s="152">
        <f>K498</f>
        <v>9734.9086165008284</v>
      </c>
      <c r="L205" s="152">
        <f>L498</f>
        <v>11097.434937010938</v>
      </c>
      <c r="M205" s="152">
        <f>M498</f>
        <v>12696.771591939976</v>
      </c>
      <c r="N205" s="152">
        <f>N498</f>
        <v>14576.89349412002</v>
      </c>
      <c r="O205" s="152">
        <f>O498</f>
        <v>16743.435368780145</v>
      </c>
    </row>
    <row r="206" spans="1:15" hidden="1" outlineLevel="1" x14ac:dyDescent="0.25">
      <c r="A206" s="71"/>
      <c r="B206" s="71"/>
      <c r="C206" s="173" t="s">
        <v>101</v>
      </c>
      <c r="D206" s="71"/>
      <c r="E206" s="71"/>
      <c r="F206" s="123">
        <f>SUM(F203:F205)</f>
        <v>23649.47</v>
      </c>
      <c r="G206" s="123">
        <f t="shared" ref="G206:O206" si="21">SUM(G203:G205)</f>
        <v>24340.02</v>
      </c>
      <c r="H206" s="123">
        <f t="shared" si="21"/>
        <v>39493.18</v>
      </c>
      <c r="I206" s="123">
        <f t="shared" si="21"/>
        <v>18798.489999999998</v>
      </c>
      <c r="J206" s="123">
        <f t="shared" si="21"/>
        <v>17502.560000000001</v>
      </c>
      <c r="K206" s="148">
        <f t="shared" si="21"/>
        <v>16503.316886026398</v>
      </c>
      <c r="L206" s="148">
        <f t="shared" si="21"/>
        <v>16530.806755498445</v>
      </c>
      <c r="M206" s="148">
        <f t="shared" si="21"/>
        <v>17138.070251939978</v>
      </c>
      <c r="N206" s="148">
        <f t="shared" si="21"/>
        <v>18625.068734120021</v>
      </c>
      <c r="O206" s="148">
        <f t="shared" si="21"/>
        <v>20741.395368780144</v>
      </c>
    </row>
    <row r="207" spans="1:15" hidden="1" outlineLevel="1" x14ac:dyDescent="0.25">
      <c r="A207" s="71"/>
      <c r="B207" s="71"/>
      <c r="C207" s="71"/>
      <c r="D207" s="71"/>
      <c r="E207" s="71"/>
      <c r="F207" s="123"/>
      <c r="G207" s="123"/>
      <c r="H207" s="123"/>
      <c r="I207" s="123"/>
      <c r="J207" s="123"/>
      <c r="K207" s="148"/>
      <c r="L207" s="148"/>
      <c r="M207" s="148"/>
      <c r="N207" s="148"/>
      <c r="O207" s="148"/>
    </row>
    <row r="208" spans="1:15" hidden="1" outlineLevel="1" x14ac:dyDescent="0.25">
      <c r="A208" s="71"/>
      <c r="B208" s="72" t="s">
        <v>102</v>
      </c>
      <c r="C208" s="71"/>
      <c r="D208" s="71"/>
      <c r="E208" s="71"/>
      <c r="F208" s="123"/>
      <c r="G208" s="123"/>
      <c r="H208" s="123"/>
      <c r="I208" s="123"/>
      <c r="J208" s="123"/>
      <c r="K208" s="148"/>
      <c r="L208" s="148"/>
      <c r="M208" s="148"/>
      <c r="N208" s="148"/>
      <c r="O208" s="148"/>
    </row>
    <row r="209" spans="1:15" hidden="1" outlineLevel="1" x14ac:dyDescent="0.25">
      <c r="A209" s="71"/>
      <c r="B209" s="71"/>
      <c r="C209" s="71" t="s">
        <v>342</v>
      </c>
      <c r="D209" s="71"/>
      <c r="E209" s="71"/>
      <c r="F209" s="149">
        <v>6284.92</v>
      </c>
      <c r="G209" s="149">
        <v>6276.95</v>
      </c>
      <c r="H209" s="149">
        <v>10032.049999999999</v>
      </c>
      <c r="I209" s="149">
        <v>12866.11</v>
      </c>
      <c r="J209" s="149">
        <v>12722.93</v>
      </c>
      <c r="K209" s="148">
        <f ca="1">K434</f>
        <v>0</v>
      </c>
      <c r="L209" s="148">
        <f ca="1">L434</f>
        <v>0</v>
      </c>
      <c r="M209" s="148">
        <f ca="1">M434</f>
        <v>0</v>
      </c>
      <c r="N209" s="148">
        <f ca="1">N434</f>
        <v>0</v>
      </c>
      <c r="O209" s="148">
        <f ca="1">O434</f>
        <v>0</v>
      </c>
    </row>
    <row r="210" spans="1:15" hidden="1" outlineLevel="1" x14ac:dyDescent="0.25">
      <c r="A210" s="71"/>
      <c r="B210" s="71"/>
      <c r="C210" s="71" t="s">
        <v>333</v>
      </c>
      <c r="D210" s="71"/>
      <c r="E210" s="71"/>
      <c r="F210" s="149">
        <v>9000.76</v>
      </c>
      <c r="G210" s="149">
        <v>13400.95</v>
      </c>
      <c r="H210" s="149">
        <v>10022.44</v>
      </c>
      <c r="I210" s="149">
        <v>2369.65</v>
      </c>
      <c r="J210" s="149">
        <v>2113.77</v>
      </c>
      <c r="K210" s="148">
        <f>K442</f>
        <v>2042.5502027536611</v>
      </c>
      <c r="L210" s="148">
        <f>L442</f>
        <v>1334.4636991004363</v>
      </c>
      <c r="M210" s="148">
        <f>M442</f>
        <v>993.12342000000001</v>
      </c>
      <c r="N210" s="148">
        <f>N442</f>
        <v>393.12342000000001</v>
      </c>
      <c r="O210" s="148">
        <f>O442</f>
        <v>50.215239999999994</v>
      </c>
    </row>
    <row r="211" spans="1:15" hidden="1" outlineLevel="1" x14ac:dyDescent="0.25">
      <c r="A211" s="71"/>
      <c r="B211" s="71"/>
      <c r="C211" s="71" t="s">
        <v>332</v>
      </c>
      <c r="D211" s="71"/>
      <c r="E211" s="71"/>
      <c r="F211" s="149">
        <v>136.02000000000001</v>
      </c>
      <c r="G211" s="149">
        <v>235.77</v>
      </c>
      <c r="H211" s="149">
        <v>390.38</v>
      </c>
      <c r="I211" s="149">
        <v>1049.03</v>
      </c>
      <c r="J211" s="149">
        <v>842.68</v>
      </c>
      <c r="K211" s="148">
        <f>J211</f>
        <v>842.68</v>
      </c>
      <c r="L211" s="148">
        <f>K211</f>
        <v>842.68</v>
      </c>
      <c r="M211" s="148">
        <f>L211</f>
        <v>842.68</v>
      </c>
      <c r="N211" s="148">
        <f>M211</f>
        <v>842.68</v>
      </c>
      <c r="O211" s="148">
        <f>N211</f>
        <v>842.68</v>
      </c>
    </row>
    <row r="212" spans="1:15" hidden="1" outlineLevel="1" x14ac:dyDescent="0.25">
      <c r="A212" s="71"/>
      <c r="B212" s="71"/>
      <c r="C212" s="71" t="s">
        <v>150</v>
      </c>
      <c r="D212" s="71"/>
      <c r="E212" s="71"/>
      <c r="F212" s="149">
        <v>3929.66</v>
      </c>
      <c r="G212" s="149">
        <v>5593.9</v>
      </c>
      <c r="H212" s="149">
        <v>7638.39</v>
      </c>
      <c r="I212" s="149">
        <v>7043.41</v>
      </c>
      <c r="J212" s="149">
        <v>5953.85</v>
      </c>
      <c r="K212" s="148">
        <f>K294</f>
        <v>5953.85</v>
      </c>
      <c r="L212" s="148">
        <f>L294</f>
        <v>5953.85</v>
      </c>
      <c r="M212" s="148">
        <f>M294</f>
        <v>5953.85</v>
      </c>
      <c r="N212" s="148">
        <f>N294</f>
        <v>5953.85</v>
      </c>
      <c r="O212" s="148">
        <f>O294</f>
        <v>5953.85</v>
      </c>
    </row>
    <row r="213" spans="1:15" hidden="1" outlineLevel="1" x14ac:dyDescent="0.25">
      <c r="A213" s="71"/>
      <c r="B213" s="71"/>
      <c r="C213" s="71" t="s">
        <v>103</v>
      </c>
      <c r="D213" s="71"/>
      <c r="E213" s="71"/>
      <c r="F213" s="149">
        <v>7117.53</v>
      </c>
      <c r="G213" s="149">
        <v>8242.61</v>
      </c>
      <c r="H213" s="149">
        <v>7582.48</v>
      </c>
      <c r="I213" s="149">
        <v>15604.27</v>
      </c>
      <c r="J213" s="149">
        <v>14013.04</v>
      </c>
      <c r="K213" s="148">
        <f>K292</f>
        <v>17366.891750217219</v>
      </c>
      <c r="L213" s="148">
        <f>L292</f>
        <v>19797.612781846823</v>
      </c>
      <c r="M213" s="148">
        <f>M292</f>
        <v>22650.798944398688</v>
      </c>
      <c r="N213" s="148">
        <f>N292</f>
        <v>26004.900645674839</v>
      </c>
      <c r="O213" s="148">
        <f>O292</f>
        <v>29869.970128274621</v>
      </c>
    </row>
    <row r="214" spans="1:15" hidden="1" outlineLevel="1" x14ac:dyDescent="0.25">
      <c r="A214" s="71"/>
      <c r="B214" s="71"/>
      <c r="C214" s="71" t="s">
        <v>149</v>
      </c>
      <c r="D214" s="71"/>
      <c r="E214" s="71"/>
      <c r="F214" s="149">
        <v>497.4</v>
      </c>
      <c r="G214" s="149">
        <v>291.91000000000003</v>
      </c>
      <c r="H214" s="149">
        <v>825.43</v>
      </c>
      <c r="I214" s="149">
        <v>739</v>
      </c>
      <c r="J214" s="149">
        <v>505.26</v>
      </c>
      <c r="K214" s="148">
        <f>K300</f>
        <v>988.6051698907869</v>
      </c>
      <c r="L214" s="148">
        <f>L300</f>
        <v>1126.9732447883137</v>
      </c>
      <c r="M214" s="148">
        <f>M300</f>
        <v>1289.3900221557637</v>
      </c>
      <c r="N214" s="148">
        <f>N300</f>
        <v>1480.3212682251483</v>
      </c>
      <c r="O214" s="148">
        <f>O300</f>
        <v>1700.3392039295877</v>
      </c>
    </row>
    <row r="215" spans="1:15" hidden="1" outlineLevel="1" x14ac:dyDescent="0.25">
      <c r="A215" s="71"/>
      <c r="B215" s="71"/>
      <c r="C215" s="71" t="s">
        <v>104</v>
      </c>
      <c r="D215" s="71"/>
      <c r="E215" s="71"/>
      <c r="F215" s="149">
        <v>3096.76</v>
      </c>
      <c r="G215" s="149">
        <v>4889.7700000000004</v>
      </c>
      <c r="H215" s="149">
        <v>4650.93</v>
      </c>
      <c r="I215" s="149">
        <v>4916.55</v>
      </c>
      <c r="J215" s="149">
        <v>4465.13</v>
      </c>
      <c r="K215" s="148">
        <f>K293</f>
        <v>5366.3015083494356</v>
      </c>
      <c r="L215" s="148">
        <f>L293</f>
        <v>6117.3847836999312</v>
      </c>
      <c r="M215" s="148">
        <f>M293</f>
        <v>6999.0081293116946</v>
      </c>
      <c r="N215" s="148">
        <f>N293</f>
        <v>8035.4124138314337</v>
      </c>
      <c r="O215" s="148">
        <f>O293</f>
        <v>9229.7037408382475</v>
      </c>
    </row>
    <row r="216" spans="1:15" hidden="1" outlineLevel="1" x14ac:dyDescent="0.25">
      <c r="A216" s="71"/>
      <c r="B216" s="71"/>
      <c r="C216" s="71" t="s">
        <v>148</v>
      </c>
      <c r="D216" s="71"/>
      <c r="E216" s="71"/>
      <c r="F216" s="149">
        <v>139.41</v>
      </c>
      <c r="G216" s="149">
        <v>755.68</v>
      </c>
      <c r="H216" s="149">
        <v>390.02</v>
      </c>
      <c r="I216" s="149">
        <v>656.23</v>
      </c>
      <c r="J216" s="149">
        <v>122.79</v>
      </c>
      <c r="K216" s="148">
        <f>J216</f>
        <v>122.79</v>
      </c>
      <c r="L216" s="148">
        <f>K216</f>
        <v>122.79</v>
      </c>
      <c r="M216" s="148">
        <f>L216</f>
        <v>122.79</v>
      </c>
      <c r="N216" s="148">
        <f>M216</f>
        <v>122.79</v>
      </c>
      <c r="O216" s="148">
        <f>N216</f>
        <v>122.79</v>
      </c>
    </row>
    <row r="217" spans="1:15" hidden="1" outlineLevel="1" x14ac:dyDescent="0.25">
      <c r="A217" s="74"/>
      <c r="B217" s="74"/>
      <c r="C217" s="174" t="s">
        <v>105</v>
      </c>
      <c r="D217" s="74"/>
      <c r="E217" s="74"/>
      <c r="F217" s="124">
        <f t="shared" ref="F217:O217" si="22">SUM(F209:F216)</f>
        <v>30202.460000000003</v>
      </c>
      <c r="G217" s="124">
        <f t="shared" si="22"/>
        <v>39687.54</v>
      </c>
      <c r="H217" s="124">
        <f t="shared" si="22"/>
        <v>41532.119999999995</v>
      </c>
      <c r="I217" s="124">
        <f t="shared" si="22"/>
        <v>45244.250000000007</v>
      </c>
      <c r="J217" s="124">
        <f t="shared" si="22"/>
        <v>40739.450000000004</v>
      </c>
      <c r="K217" s="156">
        <f t="shared" ca="1" si="22"/>
        <v>32683.668631211105</v>
      </c>
      <c r="L217" s="156">
        <f t="shared" ca="1" si="22"/>
        <v>35295.754509435508</v>
      </c>
      <c r="M217" s="156">
        <f t="shared" ca="1" si="22"/>
        <v>38851.640515866151</v>
      </c>
      <c r="N217" s="156">
        <f t="shared" ca="1" si="22"/>
        <v>42833.077747731426</v>
      </c>
      <c r="O217" s="156">
        <f t="shared" ca="1" si="22"/>
        <v>47769.548313042455</v>
      </c>
    </row>
    <row r="218" spans="1:15" hidden="1" outlineLevel="1" x14ac:dyDescent="0.25">
      <c r="A218" s="74"/>
      <c r="B218" s="74"/>
      <c r="C218" s="174" t="s">
        <v>106</v>
      </c>
      <c r="D218" s="74"/>
      <c r="E218" s="74"/>
      <c r="F218" s="124">
        <f t="shared" ref="F218:O218" si="23">F217+F206</f>
        <v>53851.930000000008</v>
      </c>
      <c r="G218" s="124">
        <f t="shared" si="23"/>
        <v>64027.56</v>
      </c>
      <c r="H218" s="124">
        <f t="shared" si="23"/>
        <v>81025.299999999988</v>
      </c>
      <c r="I218" s="124">
        <f t="shared" si="23"/>
        <v>64042.740000000005</v>
      </c>
      <c r="J218" s="124">
        <f t="shared" si="23"/>
        <v>58242.010000000009</v>
      </c>
      <c r="K218" s="156">
        <f t="shared" ca="1" si="23"/>
        <v>49186.985517237503</v>
      </c>
      <c r="L218" s="156">
        <f t="shared" ca="1" si="23"/>
        <v>51826.561264933953</v>
      </c>
      <c r="M218" s="156">
        <f t="shared" ca="1" si="23"/>
        <v>55989.710767806129</v>
      </c>
      <c r="N218" s="156">
        <f t="shared" ca="1" si="23"/>
        <v>61458.146481851451</v>
      </c>
      <c r="O218" s="156">
        <f t="shared" ca="1" si="23"/>
        <v>68510.943681822595</v>
      </c>
    </row>
    <row r="219" spans="1:15" ht="15.75" hidden="1" outlineLevel="1" thickBot="1" x14ac:dyDescent="0.3">
      <c r="A219" s="163"/>
      <c r="B219" s="163"/>
      <c r="C219" s="175" t="s">
        <v>107</v>
      </c>
      <c r="D219" s="163"/>
      <c r="E219" s="163"/>
      <c r="F219" s="165">
        <f t="shared" ref="F219:O219" si="24">F218+F199</f>
        <v>95818.900000000009</v>
      </c>
      <c r="G219" s="165">
        <f t="shared" si="24"/>
        <v>116182.43</v>
      </c>
      <c r="H219" s="165">
        <f t="shared" si="24"/>
        <v>151871.83000000002</v>
      </c>
      <c r="I219" s="165">
        <f t="shared" si="24"/>
        <v>231439.09999999998</v>
      </c>
      <c r="J219" s="165">
        <f t="shared" si="24"/>
        <v>255651.56000000003</v>
      </c>
      <c r="K219" s="166">
        <f t="shared" ca="1" si="24"/>
        <v>272524.46753505128</v>
      </c>
      <c r="L219" s="166">
        <f t="shared" ca="1" si="24"/>
        <v>305977.891505368</v>
      </c>
      <c r="M219" s="166">
        <f t="shared" ca="1" si="24"/>
        <v>347239.07433784474</v>
      </c>
      <c r="N219" s="166">
        <f t="shared" ca="1" si="24"/>
        <v>397296.42491521261</v>
      </c>
      <c r="O219" s="166">
        <f t="shared" ca="1" si="24"/>
        <v>457690.28751489636</v>
      </c>
    </row>
    <row r="220" spans="1:15" ht="15.75" hidden="1" outlineLevel="1" thickTop="1" x14ac:dyDescent="0.25">
      <c r="A220" s="71"/>
      <c r="B220" s="71"/>
      <c r="C220" s="71"/>
      <c r="D220" s="71"/>
      <c r="E220" s="71"/>
      <c r="F220" s="123"/>
      <c r="G220" s="123"/>
      <c r="H220" s="123"/>
      <c r="I220" s="123"/>
      <c r="J220" s="123"/>
      <c r="K220" s="160"/>
      <c r="L220" s="160"/>
      <c r="M220" s="160"/>
      <c r="N220" s="160"/>
      <c r="O220" s="160"/>
    </row>
    <row r="221" spans="1:15" hidden="1" outlineLevel="1" x14ac:dyDescent="0.25">
      <c r="A221" s="71"/>
      <c r="B221" s="71"/>
      <c r="C221" s="71"/>
      <c r="D221" s="71"/>
      <c r="E221" s="71"/>
      <c r="F221" s="123"/>
      <c r="G221" s="123"/>
      <c r="H221" s="123"/>
      <c r="I221" s="123"/>
      <c r="J221" s="123"/>
      <c r="K221" s="160">
        <f ca="1">K191-K219</f>
        <v>0</v>
      </c>
      <c r="L221" s="160">
        <f ca="1">L191-L219</f>
        <v>0</v>
      </c>
      <c r="M221" s="160">
        <f ca="1">M191-M219</f>
        <v>0</v>
      </c>
      <c r="N221" s="160">
        <f ca="1">N191-N219</f>
        <v>0</v>
      </c>
      <c r="O221" s="160">
        <f ca="1">O191-O219</f>
        <v>0</v>
      </c>
    </row>
    <row r="222" spans="1:15" collapsed="1" x14ac:dyDescent="0.25">
      <c r="A222" s="71"/>
      <c r="B222" s="71"/>
      <c r="C222" s="71"/>
      <c r="D222" s="71"/>
      <c r="E222" s="71"/>
      <c r="F222" s="123"/>
      <c r="G222" s="123"/>
      <c r="H222" s="123"/>
      <c r="I222" s="123"/>
      <c r="J222" s="123"/>
      <c r="K222" s="160"/>
      <c r="L222" s="160"/>
      <c r="M222" s="160"/>
      <c r="N222" s="160"/>
      <c r="O222" s="160"/>
    </row>
    <row r="223" spans="1:15" ht="25.5" x14ac:dyDescent="0.35">
      <c r="A223" s="142" t="s">
        <v>109</v>
      </c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5"/>
    </row>
    <row r="224" spans="1:15" hidden="1" outlineLevel="1" x14ac:dyDescent="0.25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</row>
    <row r="225" spans="1:15" hidden="1" outlineLevel="1" x14ac:dyDescent="0.25">
      <c r="A225" s="144" t="s">
        <v>110</v>
      </c>
      <c r="B225" s="86"/>
      <c r="C225" s="86"/>
      <c r="D225" s="86"/>
      <c r="E225" s="86"/>
      <c r="F225" s="145">
        <f>G225-1</f>
        <v>2021</v>
      </c>
      <c r="G225" s="145">
        <f>H225-1</f>
        <v>2022</v>
      </c>
      <c r="H225" s="145">
        <f>I225-1</f>
        <v>2023</v>
      </c>
      <c r="I225" s="145">
        <f>J225-1</f>
        <v>2024</v>
      </c>
      <c r="J225" s="145">
        <f>K225-1</f>
        <v>2025</v>
      </c>
      <c r="K225" s="146">
        <f>K$82</f>
        <v>2026</v>
      </c>
      <c r="L225" s="146">
        <f>L$82</f>
        <v>2027</v>
      </c>
      <c r="M225" s="146">
        <f>M$82</f>
        <v>2028</v>
      </c>
      <c r="N225" s="146">
        <f>N$82</f>
        <v>2029</v>
      </c>
      <c r="O225" s="146">
        <f>O$82</f>
        <v>2030</v>
      </c>
    </row>
    <row r="226" spans="1:15" hidden="1" outlineLevel="1" x14ac:dyDescent="0.25">
      <c r="A226" s="71"/>
      <c r="B226" s="71"/>
      <c r="C226" s="71"/>
      <c r="D226" s="71"/>
      <c r="E226" s="71"/>
      <c r="F226" s="123"/>
      <c r="G226" s="123"/>
      <c r="H226" s="123"/>
      <c r="I226" s="123"/>
      <c r="J226" s="123"/>
      <c r="K226" s="148"/>
      <c r="L226" s="148"/>
      <c r="M226" s="148"/>
      <c r="N226" s="148"/>
      <c r="O226" s="148"/>
    </row>
    <row r="227" spans="1:15" hidden="1" outlineLevel="1" x14ac:dyDescent="0.25">
      <c r="A227" s="71"/>
      <c r="B227" s="72" t="s">
        <v>112</v>
      </c>
      <c r="C227" s="71"/>
      <c r="D227" s="71"/>
      <c r="E227" s="71"/>
      <c r="F227" s="123"/>
      <c r="G227" s="123"/>
      <c r="H227" s="123"/>
      <c r="I227" s="123"/>
      <c r="J227" s="123"/>
      <c r="K227" s="148"/>
      <c r="L227" s="148"/>
      <c r="M227" s="148"/>
      <c r="N227" s="148"/>
      <c r="O227" s="148"/>
    </row>
    <row r="228" spans="1:15" hidden="1" outlineLevel="1" x14ac:dyDescent="0.25">
      <c r="A228" s="71"/>
      <c r="B228" s="71"/>
      <c r="C228" s="71" t="s">
        <v>113</v>
      </c>
      <c r="D228" s="71"/>
      <c r="E228" s="71"/>
      <c r="F228" s="149">
        <v>454</v>
      </c>
      <c r="G228" s="149">
        <v>653</v>
      </c>
      <c r="H228" s="149">
        <v>737</v>
      </c>
      <c r="I228" s="149">
        <v>821</v>
      </c>
      <c r="J228" s="149">
        <v>839</v>
      </c>
      <c r="K228" s="148">
        <f>J228*(1+K10)</f>
        <v>931.29000000000008</v>
      </c>
      <c r="L228" s="148">
        <f>K228*(1+L10)</f>
        <v>1024.4190000000001</v>
      </c>
      <c r="M228" s="148">
        <f>L228*(1+M10)</f>
        <v>1126.8609000000001</v>
      </c>
      <c r="N228" s="148">
        <f>M228*(1+N10)</f>
        <v>1239.5469900000003</v>
      </c>
      <c r="O228" s="148">
        <f>N228*(1+O10)</f>
        <v>1363.5016890000004</v>
      </c>
    </row>
    <row r="229" spans="1:15" hidden="1" outlineLevel="1" x14ac:dyDescent="0.25">
      <c r="A229" s="71"/>
      <c r="B229" s="71"/>
      <c r="C229" s="71" t="s">
        <v>7</v>
      </c>
      <c r="D229" s="71"/>
      <c r="E229" s="71"/>
      <c r="F229" s="151">
        <v>115</v>
      </c>
      <c r="G229" s="151">
        <v>149</v>
      </c>
      <c r="H229" s="151">
        <v>176</v>
      </c>
      <c r="I229" s="151">
        <v>303</v>
      </c>
      <c r="J229" s="151">
        <v>374</v>
      </c>
      <c r="K229" s="152">
        <f>J229*(1+K40)</f>
        <v>486.2</v>
      </c>
      <c r="L229" s="152">
        <f>K229*(1+L40)</f>
        <v>559.13</v>
      </c>
      <c r="M229" s="152">
        <f>L229*(1+M40)</f>
        <v>642.9994999999999</v>
      </c>
      <c r="N229" s="152">
        <f>M229*(1+N40)</f>
        <v>739.44942499999979</v>
      </c>
      <c r="O229" s="152">
        <f>N229*(1+O40)</f>
        <v>850.36683874999972</v>
      </c>
    </row>
    <row r="230" spans="1:15" hidden="1" outlineLevel="1" x14ac:dyDescent="0.25">
      <c r="A230" s="139"/>
      <c r="B230" s="139" t="s">
        <v>114</v>
      </c>
      <c r="C230" s="139"/>
      <c r="D230" s="139"/>
      <c r="E230" s="139"/>
      <c r="F230" s="123">
        <f>F228+F229</f>
        <v>569</v>
      </c>
      <c r="G230" s="123">
        <f t="shared" ref="G230:O230" si="25">G228+G229</f>
        <v>802</v>
      </c>
      <c r="H230" s="123">
        <f t="shared" si="25"/>
        <v>913</v>
      </c>
      <c r="I230" s="123">
        <f t="shared" si="25"/>
        <v>1124</v>
      </c>
      <c r="J230" s="123">
        <f t="shared" si="25"/>
        <v>1213</v>
      </c>
      <c r="K230" s="148">
        <f t="shared" si="25"/>
        <v>1417.49</v>
      </c>
      <c r="L230" s="148">
        <f t="shared" si="25"/>
        <v>1583.549</v>
      </c>
      <c r="M230" s="148">
        <f t="shared" si="25"/>
        <v>1769.8604</v>
      </c>
      <c r="N230" s="148">
        <f t="shared" si="25"/>
        <v>1978.9964150000001</v>
      </c>
      <c r="O230" s="148">
        <f t="shared" si="25"/>
        <v>2213.8685277499999</v>
      </c>
    </row>
    <row r="231" spans="1:15" hidden="1" outlineLevel="1" x14ac:dyDescent="0.25">
      <c r="A231" s="71"/>
      <c r="B231" s="71"/>
      <c r="C231" s="71"/>
      <c r="D231" s="71"/>
      <c r="E231" s="71"/>
      <c r="F231" s="123"/>
      <c r="G231" s="123"/>
      <c r="H231" s="123"/>
      <c r="I231" s="123"/>
      <c r="J231" s="123"/>
      <c r="K231" s="148"/>
      <c r="L231" s="148"/>
      <c r="M231" s="148"/>
      <c r="N231" s="148"/>
      <c r="O231" s="148"/>
    </row>
    <row r="232" spans="1:15" hidden="1" outlineLevel="1" x14ac:dyDescent="0.25">
      <c r="A232" s="71"/>
      <c r="B232" s="72" t="s">
        <v>120</v>
      </c>
      <c r="C232" s="71"/>
      <c r="D232" s="71"/>
      <c r="E232" s="71"/>
      <c r="F232" s="71"/>
      <c r="G232" s="71"/>
      <c r="H232" s="71"/>
      <c r="I232" s="71"/>
      <c r="J232" s="71"/>
      <c r="K232" s="147"/>
      <c r="L232" s="147"/>
      <c r="M232" s="147"/>
      <c r="N232" s="147"/>
      <c r="O232" s="147"/>
    </row>
    <row r="233" spans="1:15" hidden="1" outlineLevel="1" x14ac:dyDescent="0.25">
      <c r="A233" s="71"/>
      <c r="B233" s="71"/>
      <c r="C233" s="71" t="s">
        <v>121</v>
      </c>
      <c r="D233" s="71"/>
      <c r="E233" s="71"/>
      <c r="F233" s="149">
        <v>65957.42</v>
      </c>
      <c r="G233" s="149">
        <v>105958.25</v>
      </c>
      <c r="H233" s="149">
        <v>126328.26</v>
      </c>
      <c r="I233" s="149">
        <v>143486</v>
      </c>
      <c r="J233" s="149">
        <v>145568.22</v>
      </c>
      <c r="K233" s="147"/>
      <c r="L233" s="147"/>
      <c r="M233" s="147"/>
      <c r="N233" s="147"/>
      <c r="O233" s="147"/>
    </row>
    <row r="234" spans="1:15" hidden="1" outlineLevel="1" x14ac:dyDescent="0.25">
      <c r="A234" s="71"/>
      <c r="B234" s="71"/>
      <c r="C234" s="71" t="s">
        <v>126</v>
      </c>
      <c r="D234" s="71"/>
      <c r="E234" s="71"/>
      <c r="F234" s="171">
        <v>22274.880000000001</v>
      </c>
      <c r="G234" s="171">
        <v>25773.17</v>
      </c>
      <c r="H234" s="171">
        <v>34097.550000000003</v>
      </c>
      <c r="I234" s="171">
        <v>56590.5</v>
      </c>
      <c r="J234" s="171">
        <v>71285.570000000007</v>
      </c>
      <c r="K234" s="147"/>
      <c r="L234" s="147"/>
      <c r="M234" s="147"/>
      <c r="N234" s="147"/>
      <c r="O234" s="147"/>
    </row>
    <row r="235" spans="1:15" hidden="1" outlineLevel="1" x14ac:dyDescent="0.25">
      <c r="A235" s="139"/>
      <c r="B235" s="139"/>
      <c r="C235" s="139" t="s">
        <v>129</v>
      </c>
      <c r="D235" s="139"/>
      <c r="E235" s="139"/>
      <c r="F235" s="140">
        <f>F233+F234</f>
        <v>88232.3</v>
      </c>
      <c r="G235" s="140">
        <f>G233+G234</f>
        <v>131731.41999999998</v>
      </c>
      <c r="H235" s="140">
        <f>H233+H234</f>
        <v>160425.81</v>
      </c>
      <c r="I235" s="140">
        <f>I233+I234</f>
        <v>200076.5</v>
      </c>
      <c r="J235" s="140">
        <f>J233+J234</f>
        <v>216853.79</v>
      </c>
      <c r="K235" s="178"/>
      <c r="L235" s="178"/>
      <c r="M235" s="178"/>
      <c r="N235" s="178"/>
      <c r="O235" s="178"/>
    </row>
    <row r="236" spans="1:15" hidden="1" outlineLevel="1" x14ac:dyDescent="0.25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147"/>
      <c r="L236" s="147"/>
      <c r="M236" s="147"/>
      <c r="N236" s="147"/>
      <c r="O236" s="147"/>
    </row>
    <row r="237" spans="1:15" hidden="1" outlineLevel="1" x14ac:dyDescent="0.25">
      <c r="A237" s="71"/>
      <c r="B237" s="71"/>
      <c r="C237" s="71" t="s">
        <v>127</v>
      </c>
      <c r="D237" s="71"/>
      <c r="E237" s="71"/>
      <c r="F237" s="179">
        <f t="shared" ref="F237:J238" si="26">F233/F228</f>
        <v>145.28066079295155</v>
      </c>
      <c r="G237" s="179">
        <f t="shared" si="26"/>
        <v>162.26378254211332</v>
      </c>
      <c r="H237" s="179">
        <f t="shared" si="26"/>
        <v>171.40876526458615</v>
      </c>
      <c r="I237" s="179">
        <f t="shared" si="26"/>
        <v>174.76979293544457</v>
      </c>
      <c r="J237" s="179">
        <f t="shared" si="26"/>
        <v>173.50205005959475</v>
      </c>
      <c r="K237" s="180">
        <f>J237*(1+K37)</f>
        <v>174.36956030989271</v>
      </c>
      <c r="L237" s="180">
        <f>K237*(1+L37)</f>
        <v>176.98510371454108</v>
      </c>
      <c r="M237" s="180">
        <f>L237*(1+M37)</f>
        <v>180.52480578883191</v>
      </c>
      <c r="N237" s="180">
        <f>M237*(1+N37)</f>
        <v>185.03792593355269</v>
      </c>
      <c r="O237" s="180">
        <f>N237*(1+O37)</f>
        <v>189.66387408189149</v>
      </c>
    </row>
    <row r="238" spans="1:15" hidden="1" outlineLevel="1" x14ac:dyDescent="0.25">
      <c r="A238" s="71"/>
      <c r="B238" s="71"/>
      <c r="C238" s="71" t="s">
        <v>128</v>
      </c>
      <c r="D238" s="71"/>
      <c r="E238" s="71"/>
      <c r="F238" s="179">
        <f t="shared" si="26"/>
        <v>193.69460869565219</v>
      </c>
      <c r="G238" s="179">
        <f t="shared" si="26"/>
        <v>172.97429530201342</v>
      </c>
      <c r="H238" s="179">
        <f t="shared" si="26"/>
        <v>193.73607954545457</v>
      </c>
      <c r="I238" s="179">
        <f t="shared" si="26"/>
        <v>186.76732673267327</v>
      </c>
      <c r="J238" s="179">
        <f t="shared" si="26"/>
        <v>190.60312834224601</v>
      </c>
      <c r="K238" s="180">
        <f>J238*(1+K41)</f>
        <v>202.03931604278077</v>
      </c>
      <c r="L238" s="180">
        <f>K238*(1+L41)</f>
        <v>207.09029894385026</v>
      </c>
      <c r="M238" s="180">
        <f>L238*(1+M41)</f>
        <v>212.26755641744649</v>
      </c>
      <c r="N238" s="180">
        <f>M238*(1+N41)</f>
        <v>217.57424532788264</v>
      </c>
      <c r="O238" s="180">
        <f>N238*(1+O41)</f>
        <v>223.01360146107967</v>
      </c>
    </row>
    <row r="239" spans="1:15" hidden="1" outlineLevel="1" x14ac:dyDescent="0.25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147"/>
      <c r="L239" s="147"/>
      <c r="M239" s="147"/>
      <c r="N239" s="147"/>
      <c r="O239" s="147"/>
    </row>
    <row r="240" spans="1:15" hidden="1" outlineLevel="1" x14ac:dyDescent="0.25">
      <c r="A240" s="71"/>
      <c r="B240" s="71"/>
      <c r="C240" s="71" t="s">
        <v>287</v>
      </c>
      <c r="D240" s="71"/>
      <c r="E240" s="71"/>
      <c r="F240" s="71"/>
      <c r="G240" s="71"/>
      <c r="H240" s="71"/>
      <c r="I240" s="71"/>
      <c r="J240" s="71"/>
      <c r="K240" s="181">
        <f>K237*K228</f>
        <v>162388.627821</v>
      </c>
      <c r="L240" s="181">
        <f>L237*L228</f>
        <v>181306.90296214647</v>
      </c>
      <c r="M240" s="181">
        <f>M237*M228</f>
        <v>203426.34512352836</v>
      </c>
      <c r="N240" s="181">
        <f>N237*N228</f>
        <v>229363.20412677823</v>
      </c>
      <c r="O240" s="181">
        <f>O237*O228</f>
        <v>258607.01265294245</v>
      </c>
    </row>
    <row r="241" spans="1:15" hidden="1" outlineLevel="1" x14ac:dyDescent="0.25">
      <c r="A241" s="71"/>
      <c r="B241" s="71"/>
      <c r="C241" s="71" t="s">
        <v>288</v>
      </c>
      <c r="D241" s="71"/>
      <c r="E241" s="71"/>
      <c r="F241" s="71"/>
      <c r="G241" s="71"/>
      <c r="H241" s="71"/>
      <c r="I241" s="71"/>
      <c r="J241" s="71"/>
      <c r="K241" s="181">
        <f>K229*K238</f>
        <v>98231.51546000001</v>
      </c>
      <c r="L241" s="181">
        <f>L229*L238</f>
        <v>115790.39884847499</v>
      </c>
      <c r="M241" s="181">
        <f>M229*M238</f>
        <v>136487.93264263985</v>
      </c>
      <c r="N241" s="181">
        <f>N229*N238</f>
        <v>160885.15060251171</v>
      </c>
      <c r="O241" s="181">
        <f>O229*O238</f>
        <v>189643.37127271065</v>
      </c>
    </row>
    <row r="242" spans="1:15" hidden="1" outlineLevel="1" x14ac:dyDescent="0.25">
      <c r="A242" s="139"/>
      <c r="B242" s="139"/>
      <c r="C242" s="162" t="s">
        <v>289</v>
      </c>
      <c r="D242" s="139"/>
      <c r="E242" s="139"/>
      <c r="F242" s="139"/>
      <c r="G242" s="139"/>
      <c r="H242" s="139"/>
      <c r="I242" s="139"/>
      <c r="J242" s="139"/>
      <c r="K242" s="182">
        <f>K240+K241</f>
        <v>260620.14328100003</v>
      </c>
      <c r="L242" s="182">
        <f>L240+L241</f>
        <v>297097.30181062146</v>
      </c>
      <c r="M242" s="182">
        <f>M240+M241</f>
        <v>339914.27776616823</v>
      </c>
      <c r="N242" s="182">
        <f>N240+N241</f>
        <v>390248.35472928995</v>
      </c>
      <c r="O242" s="182">
        <f>O240+O241</f>
        <v>448250.38392565306</v>
      </c>
    </row>
    <row r="243" spans="1:15" hidden="1" outlineLevel="1" x14ac:dyDescent="0.25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147"/>
      <c r="L243" s="147"/>
      <c r="M243" s="147"/>
      <c r="N243" s="147"/>
      <c r="O243" s="147"/>
    </row>
    <row r="244" spans="1:15" hidden="1" outlineLevel="1" x14ac:dyDescent="0.25">
      <c r="A244" s="71"/>
      <c r="B244" s="71"/>
      <c r="C244" s="71" t="s">
        <v>83</v>
      </c>
      <c r="D244" s="71"/>
      <c r="E244" s="71"/>
      <c r="F244" s="183">
        <f>-F86</f>
        <v>1350.61</v>
      </c>
      <c r="G244" s="183">
        <f>-G86</f>
        <v>2174.16</v>
      </c>
      <c r="H244" s="183">
        <f>-H86</f>
        <v>2784.82</v>
      </c>
      <c r="I244" s="183">
        <f>-I86</f>
        <v>4736.78</v>
      </c>
      <c r="J244" s="183">
        <f>-J86</f>
        <v>5402.05</v>
      </c>
      <c r="K244" s="181">
        <f>K241*K42</f>
        <v>7586.3524350354501</v>
      </c>
      <c r="L244" s="181">
        <f>L241*L42</f>
        <v>8942.4129327980354</v>
      </c>
      <c r="M244" s="181">
        <f>M241*M42</f>
        <v>10540.869244535681</v>
      </c>
      <c r="N244" s="181">
        <f>N241*N42</f>
        <v>12425.049621996433</v>
      </c>
      <c r="O244" s="181">
        <f>O241*O42</f>
        <v>14646.027241928292</v>
      </c>
    </row>
    <row r="245" spans="1:15" hidden="1" outlineLevel="1" x14ac:dyDescent="0.25">
      <c r="A245" s="71"/>
      <c r="B245" s="71"/>
      <c r="C245" s="71" t="s">
        <v>130</v>
      </c>
      <c r="D245" s="71"/>
      <c r="E245" s="71"/>
      <c r="F245" s="184">
        <f>F244/F234</f>
        <v>6.0633772213363205E-2</v>
      </c>
      <c r="G245" s="184">
        <f>G244/G234</f>
        <v>8.4357492694922667E-2</v>
      </c>
      <c r="H245" s="184">
        <f>H244/H234</f>
        <v>8.1672143599760091E-2</v>
      </c>
      <c r="I245" s="184">
        <f>I244/I234</f>
        <v>8.3702741626244678E-2</v>
      </c>
      <c r="J245" s="184">
        <f>J244/J234</f>
        <v>7.5780413904244573E-2</v>
      </c>
      <c r="K245" s="147"/>
      <c r="L245" s="147"/>
      <c r="M245" s="147"/>
      <c r="N245" s="147"/>
      <c r="O245" s="147"/>
    </row>
    <row r="246" spans="1:15" hidden="1" outlineLevel="1" x14ac:dyDescent="0.25">
      <c r="A246" s="71"/>
      <c r="B246" s="71"/>
      <c r="C246" s="71" t="s">
        <v>131</v>
      </c>
      <c r="D246" s="71"/>
      <c r="E246" s="71"/>
      <c r="F246" s="71"/>
      <c r="G246" s="71"/>
      <c r="H246" s="71"/>
      <c r="I246" s="71"/>
      <c r="J246" s="122">
        <f>AVERAGE(F245:J245)</f>
        <v>7.7229312807707035E-2</v>
      </c>
      <c r="K246" s="147"/>
      <c r="L246" s="147"/>
      <c r="M246" s="147"/>
      <c r="N246" s="147"/>
      <c r="O246" s="147"/>
    </row>
    <row r="247" spans="1:15" hidden="1" outlineLevel="1" x14ac:dyDescent="0.25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185"/>
      <c r="L247" s="185"/>
      <c r="M247" s="185"/>
      <c r="N247" s="185"/>
      <c r="O247" s="185"/>
    </row>
    <row r="248" spans="1:15" hidden="1" outlineLevel="1" x14ac:dyDescent="0.25">
      <c r="B248" s="56"/>
      <c r="C248" s="56"/>
      <c r="D248" s="56"/>
      <c r="E248" s="56"/>
      <c r="F248" s="56"/>
      <c r="G248" s="56"/>
      <c r="H248" s="56"/>
      <c r="I248" s="56"/>
      <c r="J248" s="56"/>
      <c r="K248" s="67"/>
      <c r="L248" s="67"/>
      <c r="M248" s="67"/>
      <c r="N248" s="67"/>
      <c r="O248" s="67"/>
    </row>
    <row r="249" spans="1:15" collapsed="1" x14ac:dyDescent="0.25">
      <c r="B249" s="56"/>
      <c r="C249" s="56"/>
      <c r="D249" s="56"/>
      <c r="E249" s="56"/>
      <c r="F249" s="56"/>
      <c r="G249" s="56"/>
      <c r="H249" s="56"/>
      <c r="I249" s="56"/>
      <c r="J249" s="56"/>
      <c r="K249" s="67"/>
      <c r="L249" s="67"/>
      <c r="M249" s="67"/>
      <c r="N249" s="67"/>
      <c r="O249" s="67"/>
    </row>
    <row r="250" spans="1:15" ht="25.5" x14ac:dyDescent="0.35">
      <c r="A250" s="142" t="s">
        <v>133</v>
      </c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5"/>
    </row>
    <row r="251" spans="1:15" hidden="1" outlineLevel="1" x14ac:dyDescent="0.25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</row>
    <row r="252" spans="1:15" hidden="1" outlineLevel="1" x14ac:dyDescent="0.25">
      <c r="A252" s="144" t="s">
        <v>134</v>
      </c>
      <c r="B252" s="86"/>
      <c r="C252" s="86"/>
      <c r="D252" s="86"/>
      <c r="E252" s="86"/>
      <c r="F252" s="145">
        <f>G252-1</f>
        <v>2021</v>
      </c>
      <c r="G252" s="145">
        <f>H252-1</f>
        <v>2022</v>
      </c>
      <c r="H252" s="145">
        <f>I252-1</f>
        <v>2023</v>
      </c>
      <c r="I252" s="145">
        <f>J252-1</f>
        <v>2024</v>
      </c>
      <c r="J252" s="145">
        <f>K252-1</f>
        <v>2025</v>
      </c>
      <c r="K252" s="146">
        <f>K$82</f>
        <v>2026</v>
      </c>
      <c r="L252" s="146">
        <f>L$82</f>
        <v>2027</v>
      </c>
      <c r="M252" s="146">
        <f>M$82</f>
        <v>2028</v>
      </c>
      <c r="N252" s="146">
        <f>N$82</f>
        <v>2029</v>
      </c>
      <c r="O252" s="146">
        <f>O$82</f>
        <v>2030</v>
      </c>
    </row>
    <row r="253" spans="1:15" hidden="1" outlineLevel="1" x14ac:dyDescent="0.25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147"/>
      <c r="L253" s="147"/>
      <c r="M253" s="147"/>
      <c r="N253" s="147"/>
      <c r="O253" s="147"/>
    </row>
    <row r="254" spans="1:15" hidden="1" outlineLevel="1" x14ac:dyDescent="0.25">
      <c r="A254" s="71"/>
      <c r="B254" s="71"/>
      <c r="C254" s="71" t="s">
        <v>10</v>
      </c>
      <c r="D254" s="71"/>
      <c r="E254" s="71"/>
      <c r="F254" s="183">
        <f t="shared" ref="F254:O254" si="27">F87</f>
        <v>88232.3</v>
      </c>
      <c r="G254" s="183">
        <f t="shared" si="27"/>
        <v>131731.41999999998</v>
      </c>
      <c r="H254" s="183">
        <f t="shared" si="27"/>
        <v>160425.81</v>
      </c>
      <c r="I254" s="183">
        <f t="shared" si="27"/>
        <v>200076.5</v>
      </c>
      <c r="J254" s="183">
        <f t="shared" si="27"/>
        <v>216853.79</v>
      </c>
      <c r="K254" s="181">
        <f t="shared" si="27"/>
        <v>260620.14328100003</v>
      </c>
      <c r="L254" s="181">
        <f t="shared" si="27"/>
        <v>297097.30181062146</v>
      </c>
      <c r="M254" s="181">
        <f t="shared" si="27"/>
        <v>339914.27776616823</v>
      </c>
      <c r="N254" s="181">
        <f t="shared" si="27"/>
        <v>390248.35472928995</v>
      </c>
      <c r="O254" s="181">
        <f t="shared" si="27"/>
        <v>448250.38392565306</v>
      </c>
    </row>
    <row r="255" spans="1:15" hidden="1" outlineLevel="1" x14ac:dyDescent="0.25">
      <c r="A255" s="71"/>
      <c r="B255" s="71"/>
      <c r="C255" s="71" t="s">
        <v>85</v>
      </c>
      <c r="D255" s="71"/>
      <c r="E255" s="71"/>
      <c r="F255" s="183">
        <f>F91</f>
        <v>39689.129999999997</v>
      </c>
      <c r="G255" s="183">
        <f>G91</f>
        <v>64170.92</v>
      </c>
      <c r="H255" s="183">
        <f>H91</f>
        <v>70264.61</v>
      </c>
      <c r="I255" s="183">
        <f>I91</f>
        <v>82937.429999999993</v>
      </c>
      <c r="J255" s="183">
        <f>J91</f>
        <v>93370.62</v>
      </c>
      <c r="K255" s="147"/>
      <c r="L255" s="147"/>
      <c r="M255" s="147"/>
      <c r="N255" s="147"/>
      <c r="O255" s="147"/>
    </row>
    <row r="256" spans="1:15" hidden="1" outlineLevel="1" x14ac:dyDescent="0.25">
      <c r="A256" s="71"/>
      <c r="B256" s="71"/>
      <c r="C256" s="71"/>
      <c r="D256" s="71"/>
      <c r="E256" s="71"/>
      <c r="F256" s="183"/>
      <c r="G256" s="183"/>
      <c r="H256" s="183"/>
      <c r="I256" s="183"/>
      <c r="J256" s="183"/>
      <c r="K256" s="147"/>
      <c r="L256" s="147"/>
      <c r="M256" s="147"/>
      <c r="N256" s="147"/>
      <c r="O256" s="147"/>
    </row>
    <row r="257" spans="1:15" hidden="1" outlineLevel="1" x14ac:dyDescent="0.25">
      <c r="A257" s="71"/>
      <c r="B257" s="71"/>
      <c r="C257" s="71" t="s">
        <v>135</v>
      </c>
      <c r="D257" s="71"/>
      <c r="E257" s="71"/>
      <c r="F257" s="184">
        <f>F255/F254</f>
        <v>0.44982540407537824</v>
      </c>
      <c r="G257" s="184">
        <f>G255/G254</f>
        <v>0.48713450443333872</v>
      </c>
      <c r="H257" s="184">
        <f>H255/H254</f>
        <v>0.43798818905760861</v>
      </c>
      <c r="I257" s="184">
        <f>I255/I254</f>
        <v>0.41452859281324889</v>
      </c>
      <c r="J257" s="184">
        <f>J255/J254</f>
        <v>0.43056946341588032</v>
      </c>
      <c r="K257" s="147"/>
      <c r="L257" s="147"/>
      <c r="M257" s="147"/>
      <c r="N257" s="147"/>
      <c r="O257" s="147"/>
    </row>
    <row r="258" spans="1:15" hidden="1" outlineLevel="1" x14ac:dyDescent="0.25">
      <c r="A258" s="86"/>
      <c r="B258" s="86"/>
      <c r="C258" s="86" t="s">
        <v>136</v>
      </c>
      <c r="D258" s="86"/>
      <c r="E258" s="86"/>
      <c r="F258" s="86"/>
      <c r="G258" s="86"/>
      <c r="H258" s="86"/>
      <c r="I258" s="86"/>
      <c r="J258" s="112">
        <f>AVERAGE(F257:J257)</f>
        <v>0.44400923075909093</v>
      </c>
      <c r="K258" s="186"/>
      <c r="L258" s="186"/>
      <c r="M258" s="186"/>
      <c r="N258" s="186"/>
      <c r="O258" s="186"/>
    </row>
    <row r="259" spans="1:15" hidden="1" outlineLevel="1" x14ac:dyDescent="0.25">
      <c r="A259" s="71"/>
      <c r="B259" s="71"/>
      <c r="C259" s="72" t="s">
        <v>141</v>
      </c>
      <c r="D259" s="71"/>
      <c r="E259" s="71"/>
      <c r="F259" s="71"/>
      <c r="G259" s="71"/>
      <c r="H259" s="71"/>
      <c r="I259" s="71"/>
      <c r="J259" s="71"/>
      <c r="K259" s="181">
        <f>K254*$J$258</f>
        <v>115717.74933852088</v>
      </c>
      <c r="L259" s="181">
        <f>L254*$J$258</f>
        <v>131913.94443753551</v>
      </c>
      <c r="M259" s="181">
        <f>M254*$J$258</f>
        <v>150925.07699498831</v>
      </c>
      <c r="N259" s="181">
        <f>N254*$J$258</f>
        <v>173273.87178835287</v>
      </c>
      <c r="O259" s="181">
        <f>O254*$J$258</f>
        <v>199027.30815429639</v>
      </c>
    </row>
    <row r="260" spans="1:15" hidden="1" outlineLevel="1" x14ac:dyDescent="0.25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147"/>
      <c r="L260" s="147"/>
      <c r="M260" s="147"/>
      <c r="N260" s="147"/>
      <c r="O260" s="147"/>
    </row>
    <row r="261" spans="1:15" hidden="1" outlineLevel="1" x14ac:dyDescent="0.25">
      <c r="A261" s="71"/>
      <c r="B261" s="71"/>
      <c r="C261" s="71" t="s">
        <v>90</v>
      </c>
      <c r="D261" s="71"/>
      <c r="E261" s="71"/>
      <c r="F261" s="183">
        <f>F97</f>
        <v>21262.26</v>
      </c>
      <c r="G261" s="183">
        <f>G97</f>
        <v>29072.39</v>
      </c>
      <c r="H261" s="183">
        <f>H97</f>
        <v>35816.21</v>
      </c>
      <c r="I261" s="183">
        <f>I97</f>
        <v>45068.29</v>
      </c>
      <c r="J261" s="183">
        <f>J97</f>
        <v>47198.38</v>
      </c>
      <c r="K261" s="147"/>
      <c r="L261" s="147"/>
      <c r="M261" s="147"/>
      <c r="N261" s="147"/>
      <c r="O261" s="147"/>
    </row>
    <row r="262" spans="1:15" hidden="1" outlineLevel="1" x14ac:dyDescent="0.25">
      <c r="A262" s="71"/>
      <c r="B262" s="71"/>
      <c r="C262" s="71" t="s">
        <v>139</v>
      </c>
      <c r="D262" s="71"/>
      <c r="E262" s="71"/>
      <c r="F262" s="184">
        <f>F261/F254</f>
        <v>0.24098045727018333</v>
      </c>
      <c r="G262" s="184">
        <f>G261/G254</f>
        <v>0.22069442506578918</v>
      </c>
      <c r="H262" s="184">
        <f>H261/H254</f>
        <v>0.22325715544150906</v>
      </c>
      <c r="I262" s="184">
        <f>I261/I254</f>
        <v>0.22525528985163176</v>
      </c>
      <c r="J262" s="184">
        <f>J261/J254</f>
        <v>0.21765070372991865</v>
      </c>
      <c r="K262" s="147"/>
      <c r="L262" s="147"/>
      <c r="M262" s="147"/>
      <c r="N262" s="147"/>
      <c r="O262" s="147"/>
    </row>
    <row r="263" spans="1:15" hidden="1" outlineLevel="1" x14ac:dyDescent="0.25">
      <c r="A263" s="71"/>
      <c r="B263" s="71"/>
      <c r="C263" s="71" t="s">
        <v>140</v>
      </c>
      <c r="D263" s="71"/>
      <c r="E263" s="71"/>
      <c r="F263" s="71"/>
      <c r="G263" s="71"/>
      <c r="H263" s="71"/>
      <c r="I263" s="71"/>
      <c r="J263" s="122">
        <f>AVERAGE(F262:J262)</f>
        <v>0.22556760627180639</v>
      </c>
      <c r="K263" s="147"/>
      <c r="L263" s="147"/>
      <c r="M263" s="147"/>
      <c r="N263" s="147"/>
      <c r="O263" s="147"/>
    </row>
    <row r="264" spans="1:15" hidden="1" outlineLevel="1" x14ac:dyDescent="0.25">
      <c r="A264" s="139"/>
      <c r="B264" s="139"/>
      <c r="C264" s="162" t="s">
        <v>142</v>
      </c>
      <c r="D264" s="139"/>
      <c r="E264" s="139"/>
      <c r="F264" s="139"/>
      <c r="G264" s="139"/>
      <c r="H264" s="139"/>
      <c r="I264" s="139"/>
      <c r="J264" s="139"/>
      <c r="K264" s="182">
        <f>K254*$J$263</f>
        <v>58787.461866110381</v>
      </c>
      <c r="L264" s="182">
        <f>L254*$J$263</f>
        <v>67015.52719923429</v>
      </c>
      <c r="M264" s="182">
        <f>M254*$J$263</f>
        <v>76673.649973324471</v>
      </c>
      <c r="N264" s="182">
        <f>N254*$J$263</f>
        <v>88027.387227796702</v>
      </c>
      <c r="O264" s="182">
        <f>O254*$J$263</f>
        <v>101110.76611252777</v>
      </c>
    </row>
    <row r="265" spans="1:15" hidden="1" outlineLevel="1" x14ac:dyDescent="0.2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147"/>
      <c r="L265" s="147"/>
      <c r="M265" s="147"/>
      <c r="N265" s="147"/>
      <c r="O265" s="147"/>
    </row>
    <row r="266" spans="1:15" hidden="1" outlineLevel="1" x14ac:dyDescent="0.25">
      <c r="A266" s="71"/>
      <c r="B266" s="71"/>
      <c r="C266" s="71" t="s">
        <v>88</v>
      </c>
      <c r="D266" s="71"/>
      <c r="E266" s="71"/>
      <c r="F266" s="183">
        <f>F94</f>
        <v>10076.99</v>
      </c>
      <c r="G266" s="183">
        <f>G94</f>
        <v>12166.42</v>
      </c>
      <c r="H266" s="183">
        <f>H94</f>
        <v>14465.87</v>
      </c>
      <c r="I266" s="183">
        <f>I94</f>
        <v>18850.259999999998</v>
      </c>
      <c r="J266" s="183">
        <f>J94</f>
        <v>22007.43</v>
      </c>
      <c r="K266" s="147"/>
      <c r="L266" s="147"/>
      <c r="M266" s="147"/>
      <c r="N266" s="147"/>
      <c r="O266" s="147"/>
    </row>
    <row r="267" spans="1:15" hidden="1" outlineLevel="1" x14ac:dyDescent="0.25">
      <c r="A267" s="71"/>
      <c r="B267" s="71"/>
      <c r="C267" s="71" t="s">
        <v>139</v>
      </c>
      <c r="D267" s="71"/>
      <c r="E267" s="71"/>
      <c r="F267" s="184">
        <f>F266/F254</f>
        <v>0.11420976218459679</v>
      </c>
      <c r="G267" s="184">
        <f>G266/G254</f>
        <v>9.2357768556658698E-2</v>
      </c>
      <c r="H267" s="184">
        <f>H266/H254</f>
        <v>9.0171712394657696E-2</v>
      </c>
      <c r="I267" s="184">
        <f>I266/I254</f>
        <v>9.4215262662031771E-2</v>
      </c>
      <c r="J267" s="184">
        <f>J266/J254</f>
        <v>0.10148510662414523</v>
      </c>
      <c r="K267" s="147"/>
      <c r="L267" s="147"/>
      <c r="M267" s="147"/>
      <c r="N267" s="147"/>
      <c r="O267" s="147"/>
    </row>
    <row r="268" spans="1:15" hidden="1" outlineLevel="1" x14ac:dyDescent="0.25">
      <c r="A268" s="86"/>
      <c r="B268" s="86"/>
      <c r="C268" s="86" t="s">
        <v>140</v>
      </c>
      <c r="D268" s="86"/>
      <c r="E268" s="86"/>
      <c r="F268" s="86"/>
      <c r="G268" s="86"/>
      <c r="H268" s="86"/>
      <c r="I268" s="86"/>
      <c r="J268" s="112">
        <f>AVERAGE(F267:J267)</f>
        <v>9.8487922484418039E-2</v>
      </c>
      <c r="K268" s="186"/>
      <c r="L268" s="186"/>
      <c r="M268" s="186"/>
      <c r="N268" s="186"/>
      <c r="O268" s="186"/>
    </row>
    <row r="269" spans="1:15" hidden="1" outlineLevel="1" x14ac:dyDescent="0.25">
      <c r="A269" s="71"/>
      <c r="B269" s="71"/>
      <c r="C269" s="187" t="s">
        <v>143</v>
      </c>
      <c r="D269" s="71"/>
      <c r="E269" s="71"/>
      <c r="F269" s="71"/>
      <c r="G269" s="71"/>
      <c r="H269" s="71"/>
      <c r="I269" s="71"/>
      <c r="J269" s="71"/>
      <c r="K269" s="181">
        <f>K254*$J$268</f>
        <v>25667.936469337052</v>
      </c>
      <c r="L269" s="181">
        <f>L254*$J$268</f>
        <v>29260.496031054237</v>
      </c>
      <c r="M269" s="181">
        <f>M254*$J$268</f>
        <v>33477.451039981323</v>
      </c>
      <c r="N269" s="181">
        <f>N254*$J$268</f>
        <v>38434.749710249984</v>
      </c>
      <c r="O269" s="181">
        <f>O254*$J$268</f>
        <v>44147.249065680342</v>
      </c>
    </row>
    <row r="270" spans="1:15" hidden="1" outlineLevel="1" x14ac:dyDescent="0.25">
      <c r="A270" s="71"/>
      <c r="B270" s="71"/>
      <c r="C270" s="127"/>
      <c r="D270" s="71"/>
      <c r="E270" s="71"/>
      <c r="F270" s="71"/>
      <c r="G270" s="71"/>
      <c r="H270" s="71"/>
      <c r="I270" s="71"/>
      <c r="J270" s="71"/>
      <c r="K270" s="181"/>
      <c r="L270" s="181"/>
      <c r="M270" s="181"/>
      <c r="N270" s="181"/>
      <c r="O270" s="181"/>
    </row>
    <row r="271" spans="1:15" hidden="1" outlineLevel="1" x14ac:dyDescent="0.25">
      <c r="A271" s="71"/>
      <c r="B271" s="71"/>
      <c r="C271" s="127" t="s">
        <v>86</v>
      </c>
      <c r="D271" s="71"/>
      <c r="E271" s="71"/>
      <c r="F271" s="183">
        <f>F92</f>
        <v>1654.69</v>
      </c>
      <c r="G271" s="183">
        <f>G92</f>
        <v>1885.71</v>
      </c>
      <c r="H271" s="183">
        <f>H92</f>
        <v>4626.96</v>
      </c>
      <c r="I271" s="183">
        <f>I92</f>
        <v>6859.21</v>
      </c>
      <c r="J271" s="183">
        <f>J92</f>
        <v>3694.53</v>
      </c>
      <c r="K271" s="181"/>
      <c r="L271" s="181"/>
      <c r="M271" s="181"/>
      <c r="N271" s="181"/>
      <c r="O271" s="181"/>
    </row>
    <row r="272" spans="1:15" hidden="1" outlineLevel="1" x14ac:dyDescent="0.25">
      <c r="A272" s="71"/>
      <c r="B272" s="71"/>
      <c r="C272" s="127" t="s">
        <v>139</v>
      </c>
      <c r="D272" s="71"/>
      <c r="E272" s="71"/>
      <c r="F272" s="184">
        <f>F271/F254</f>
        <v>1.8753789711930893E-2</v>
      </c>
      <c r="G272" s="184">
        <f>G271/G254</f>
        <v>1.431480811487495E-2</v>
      </c>
      <c r="H272" s="184">
        <f>H271/H254</f>
        <v>2.8841743108543445E-2</v>
      </c>
      <c r="I272" s="184">
        <f>I271/I254</f>
        <v>3.4282936776682919E-2</v>
      </c>
      <c r="J272" s="184">
        <f>J271/J254</f>
        <v>1.7036963015495371E-2</v>
      </c>
      <c r="K272" s="181"/>
      <c r="L272" s="181"/>
      <c r="M272" s="181"/>
      <c r="N272" s="181"/>
      <c r="O272" s="181"/>
    </row>
    <row r="273" spans="1:15" hidden="1" outlineLevel="1" x14ac:dyDescent="0.25">
      <c r="A273" s="71"/>
      <c r="B273" s="71"/>
      <c r="C273" s="127" t="s">
        <v>140</v>
      </c>
      <c r="D273" s="71"/>
      <c r="E273" s="71"/>
      <c r="F273" s="184"/>
      <c r="G273" s="184"/>
      <c r="H273" s="184"/>
      <c r="I273" s="184"/>
      <c r="J273" s="184">
        <f>AVERAGE(F272:J272)</f>
        <v>2.2646048145505516E-2</v>
      </c>
      <c r="K273" s="181"/>
      <c r="L273" s="181"/>
      <c r="M273" s="181"/>
      <c r="N273" s="181"/>
      <c r="O273" s="181"/>
    </row>
    <row r="274" spans="1:15" hidden="1" outlineLevel="1" x14ac:dyDescent="0.25">
      <c r="A274" s="139"/>
      <c r="B274" s="139"/>
      <c r="C274" s="188" t="s">
        <v>321</v>
      </c>
      <c r="D274" s="139"/>
      <c r="E274" s="139"/>
      <c r="F274" s="139"/>
      <c r="G274" s="139"/>
      <c r="H274" s="139"/>
      <c r="I274" s="139"/>
      <c r="J274" s="139"/>
      <c r="K274" s="182">
        <f>$J$273*K254</f>
        <v>5902.0163124300725</v>
      </c>
      <c r="L274" s="182">
        <f>$J$273*L254</f>
        <v>6728.0798007031162</v>
      </c>
      <c r="M274" s="182">
        <f>$J$273*M254</f>
        <v>7697.7150996373812</v>
      </c>
      <c r="N274" s="182">
        <f>$J$273*N254</f>
        <v>8837.5830299038153</v>
      </c>
      <c r="O274" s="182">
        <f>$J$273*O254</f>
        <v>10151.099775621671</v>
      </c>
    </row>
    <row r="275" spans="1:15" hidden="1" outlineLevel="1" x14ac:dyDescent="0.2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147"/>
      <c r="L275" s="147"/>
      <c r="M275" s="147"/>
      <c r="N275" s="147"/>
      <c r="O275" s="147"/>
    </row>
    <row r="276" spans="1:15" collapsed="1" x14ac:dyDescent="0.25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185"/>
      <c r="L276" s="185"/>
      <c r="M276" s="185"/>
      <c r="N276" s="185"/>
      <c r="O276" s="185"/>
    </row>
    <row r="277" spans="1:15" ht="25.5" x14ac:dyDescent="0.35">
      <c r="A277" s="142" t="s">
        <v>144</v>
      </c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5"/>
    </row>
    <row r="278" spans="1:15" hidden="1" outlineLevel="2" x14ac:dyDescent="0.25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</row>
    <row r="279" spans="1:15" hidden="1" outlineLevel="2" x14ac:dyDescent="0.25">
      <c r="A279" s="144" t="s">
        <v>134</v>
      </c>
      <c r="B279" s="86"/>
      <c r="C279" s="86"/>
      <c r="D279" s="86"/>
      <c r="E279" s="86"/>
      <c r="F279" s="145">
        <f>G279-1</f>
        <v>2021</v>
      </c>
      <c r="G279" s="145">
        <f>H279-1</f>
        <v>2022</v>
      </c>
      <c r="H279" s="145">
        <f>I279-1</f>
        <v>2023</v>
      </c>
      <c r="I279" s="145">
        <f>J279-1</f>
        <v>2024</v>
      </c>
      <c r="J279" s="145">
        <f>K279-1</f>
        <v>2025</v>
      </c>
      <c r="K279" s="146">
        <f>K$82</f>
        <v>2026</v>
      </c>
      <c r="L279" s="146">
        <f>L$82</f>
        <v>2027</v>
      </c>
      <c r="M279" s="146">
        <f>M$82</f>
        <v>2028</v>
      </c>
      <c r="N279" s="146">
        <f>N$82</f>
        <v>2029</v>
      </c>
      <c r="O279" s="146">
        <f>O$82</f>
        <v>2030</v>
      </c>
    </row>
    <row r="280" spans="1:15" hidden="1" outlineLevel="2" x14ac:dyDescent="0.25">
      <c r="A280" s="71"/>
      <c r="B280" s="71"/>
      <c r="C280" s="71"/>
      <c r="D280" s="71"/>
      <c r="E280" s="71"/>
      <c r="F280" s="123"/>
      <c r="G280" s="123"/>
      <c r="H280" s="123"/>
      <c r="I280" s="123"/>
      <c r="J280" s="123"/>
      <c r="K280" s="148"/>
      <c r="L280" s="148"/>
      <c r="M280" s="148"/>
      <c r="N280" s="148"/>
      <c r="O280" s="148"/>
    </row>
    <row r="281" spans="1:15" hidden="1" outlineLevel="2" x14ac:dyDescent="0.25">
      <c r="A281" s="71"/>
      <c r="B281" s="72" t="s">
        <v>145</v>
      </c>
      <c r="C281" s="71"/>
      <c r="D281" s="71"/>
      <c r="E281" s="71"/>
      <c r="F281" s="123"/>
      <c r="G281" s="123"/>
      <c r="H281" s="123"/>
      <c r="I281" s="123"/>
      <c r="J281" s="123"/>
      <c r="K281" s="148"/>
      <c r="L281" s="148"/>
      <c r="M281" s="148"/>
      <c r="N281" s="148"/>
      <c r="O281" s="148"/>
    </row>
    <row r="282" spans="1:15" hidden="1" outlineLevel="2" x14ac:dyDescent="0.25">
      <c r="A282" s="71"/>
      <c r="B282" s="71"/>
      <c r="C282" s="71" t="s">
        <v>10</v>
      </c>
      <c r="D282" s="71"/>
      <c r="E282" s="71"/>
      <c r="F282" s="123"/>
      <c r="G282" s="123"/>
      <c r="H282" s="123"/>
      <c r="I282" s="123"/>
      <c r="J282" s="123">
        <f t="shared" ref="J282:O282" si="28">J87</f>
        <v>216853.79</v>
      </c>
      <c r="K282" s="148">
        <f t="shared" si="28"/>
        <v>260620.14328100003</v>
      </c>
      <c r="L282" s="148">
        <f t="shared" si="28"/>
        <v>297097.30181062146</v>
      </c>
      <c r="M282" s="148">
        <f t="shared" si="28"/>
        <v>339914.27776616823</v>
      </c>
      <c r="N282" s="148">
        <f t="shared" si="28"/>
        <v>390248.35472928995</v>
      </c>
      <c r="O282" s="148">
        <f t="shared" si="28"/>
        <v>448250.38392565306</v>
      </c>
    </row>
    <row r="283" spans="1:15" hidden="1" outlineLevel="2" x14ac:dyDescent="0.25">
      <c r="A283" s="71"/>
      <c r="B283" s="71"/>
      <c r="C283" s="71" t="s">
        <v>146</v>
      </c>
      <c r="D283" s="71"/>
      <c r="E283" s="71"/>
      <c r="F283" s="123"/>
      <c r="G283" s="123"/>
      <c r="H283" s="123"/>
      <c r="I283" s="123"/>
      <c r="J283" s="123"/>
      <c r="K283" s="189">
        <f>K282/J282-1</f>
        <v>0.2018242488683275</v>
      </c>
      <c r="L283" s="189">
        <f>L282/K282-1</f>
        <v>0.13996292869155491</v>
      </c>
      <c r="M283" s="189">
        <f>M282/L282-1</f>
        <v>0.14411768701568217</v>
      </c>
      <c r="N283" s="189">
        <f>N282/M282-1</f>
        <v>0.14807873706837116</v>
      </c>
      <c r="O283" s="189">
        <f>O282/N282-1</f>
        <v>0.14862850411399764</v>
      </c>
    </row>
    <row r="284" spans="1:15" hidden="1" outlineLevel="2" x14ac:dyDescent="0.25">
      <c r="A284" s="71"/>
      <c r="B284" s="71"/>
      <c r="C284" s="71" t="s">
        <v>85</v>
      </c>
      <c r="D284" s="71"/>
      <c r="E284" s="71"/>
      <c r="F284" s="123"/>
      <c r="G284" s="123"/>
      <c r="H284" s="123"/>
      <c r="I284" s="123"/>
      <c r="J284" s="123">
        <f t="shared" ref="J284:O284" si="29">J91</f>
        <v>93370.62</v>
      </c>
      <c r="K284" s="148">
        <f t="shared" si="29"/>
        <v>115717.74933852088</v>
      </c>
      <c r="L284" s="148">
        <f t="shared" si="29"/>
        <v>131913.94443753551</v>
      </c>
      <c r="M284" s="148">
        <f t="shared" si="29"/>
        <v>150925.07699498831</v>
      </c>
      <c r="N284" s="148">
        <f t="shared" si="29"/>
        <v>173273.87178835287</v>
      </c>
      <c r="O284" s="148">
        <f t="shared" si="29"/>
        <v>199027.30815429639</v>
      </c>
    </row>
    <row r="285" spans="1:15" hidden="1" outlineLevel="2" x14ac:dyDescent="0.25">
      <c r="A285" s="71"/>
      <c r="B285" s="71"/>
      <c r="C285" s="71" t="s">
        <v>146</v>
      </c>
      <c r="D285" s="71"/>
      <c r="E285" s="71"/>
      <c r="F285" s="123"/>
      <c r="G285" s="123"/>
      <c r="H285" s="123"/>
      <c r="I285" s="123"/>
      <c r="J285" s="123"/>
      <c r="K285" s="189">
        <f>K284/J284-1</f>
        <v>0.23933791313071384</v>
      </c>
      <c r="L285" s="189">
        <f>L284/K284-1</f>
        <v>0.13996292869155491</v>
      </c>
      <c r="M285" s="189">
        <f>M284/L284-1</f>
        <v>0.14411768701568195</v>
      </c>
      <c r="N285" s="189">
        <f>N284/M284-1</f>
        <v>0.14807873706837116</v>
      </c>
      <c r="O285" s="189">
        <f>O284/N284-1</f>
        <v>0.14862850411399764</v>
      </c>
    </row>
    <row r="286" spans="1:15" hidden="1" outlineLevel="2" x14ac:dyDescent="0.25">
      <c r="A286" s="71"/>
      <c r="B286" s="71"/>
      <c r="C286" s="71"/>
      <c r="D286" s="71"/>
      <c r="E286" s="71"/>
      <c r="F286" s="123"/>
      <c r="G286" s="123"/>
      <c r="H286" s="123"/>
      <c r="I286" s="123"/>
      <c r="J286" s="123"/>
      <c r="K286" s="148"/>
      <c r="L286" s="148"/>
      <c r="M286" s="148"/>
      <c r="N286" s="148"/>
      <c r="O286" s="148"/>
    </row>
    <row r="287" spans="1:15" hidden="1" outlineLevel="2" x14ac:dyDescent="0.25">
      <c r="A287" s="71"/>
      <c r="B287" s="72" t="s">
        <v>147</v>
      </c>
      <c r="C287" s="71"/>
      <c r="D287" s="71"/>
      <c r="E287" s="71"/>
      <c r="F287" s="123"/>
      <c r="G287" s="123"/>
      <c r="H287" s="123"/>
      <c r="I287" s="123"/>
      <c r="J287" s="123"/>
      <c r="K287" s="148"/>
      <c r="L287" s="148"/>
      <c r="M287" s="148"/>
      <c r="N287" s="148"/>
      <c r="O287" s="148"/>
    </row>
    <row r="288" spans="1:15" hidden="1" outlineLevel="2" x14ac:dyDescent="0.25">
      <c r="A288" s="71"/>
      <c r="B288" s="71"/>
      <c r="C288" s="71" t="s">
        <v>44</v>
      </c>
      <c r="D288" s="71"/>
      <c r="E288" s="71"/>
      <c r="F288" s="123"/>
      <c r="G288" s="123"/>
      <c r="H288" s="123"/>
      <c r="I288" s="123"/>
      <c r="J288" s="123">
        <f>J185</f>
        <v>12490.31</v>
      </c>
      <c r="K288" s="148">
        <f>J288*(1+K283)</f>
        <v>15011.157433882559</v>
      </c>
      <c r="L288" s="148">
        <f>K288*(1+L283)</f>
        <v>17112.162991378769</v>
      </c>
      <c r="M288" s="148">
        <f>L288*(1+M283)</f>
        <v>19578.328341531633</v>
      </c>
      <c r="N288" s="148">
        <f>M288*(1+N283)</f>
        <v>22477.462476255536</v>
      </c>
      <c r="O288" s="148">
        <f>N288*(1+O283)</f>
        <v>25818.254100379909</v>
      </c>
    </row>
    <row r="289" spans="1:15" hidden="1" outlineLevel="2" x14ac:dyDescent="0.25">
      <c r="A289" s="71"/>
      <c r="B289" s="71"/>
      <c r="C289" s="71" t="s">
        <v>43</v>
      </c>
      <c r="D289" s="71"/>
      <c r="E289" s="71"/>
      <c r="F289" s="123"/>
      <c r="G289" s="123"/>
      <c r="H289" s="123"/>
      <c r="I289" s="123"/>
      <c r="J289" s="123">
        <f>J184</f>
        <v>29517.89</v>
      </c>
      <c r="K289" s="148">
        <f>J289*(1+K285)</f>
        <v>36582.64019262197</v>
      </c>
      <c r="L289" s="148">
        <f>K289*(1+L285)</f>
        <v>41702.853653250728</v>
      </c>
      <c r="M289" s="148">
        <f>L289*(1+M285)</f>
        <v>47712.972463710707</v>
      </c>
      <c r="N289" s="148">
        <f>M289*(1+N285)</f>
        <v>54778.249167914961</v>
      </c>
      <c r="O289" s="148">
        <f>N289*(1+O285)</f>
        <v>62919.858399725999</v>
      </c>
    </row>
    <row r="290" spans="1:15" hidden="1" outlineLevel="2" x14ac:dyDescent="0.25">
      <c r="A290" s="71"/>
      <c r="B290" s="71"/>
      <c r="C290" s="71" t="s">
        <v>76</v>
      </c>
      <c r="D290" s="71"/>
      <c r="E290" s="71"/>
      <c r="F290" s="123"/>
      <c r="G290" s="123"/>
      <c r="H290" s="123"/>
      <c r="I290" s="123"/>
      <c r="J290" s="123">
        <f>J188</f>
        <v>16900.919999999998</v>
      </c>
      <c r="K290" s="148">
        <f>J290*(1+K283)</f>
        <v>20311.93548418369</v>
      </c>
      <c r="L290" s="148">
        <f>K290*(1+L283)</f>
        <v>23154.853461943956</v>
      </c>
      <c r="M290" s="148">
        <f>L290*(1+M283)</f>
        <v>26491.877386066379</v>
      </c>
      <c r="N290" s="148">
        <f>M290*(1+N283)</f>
        <v>30414.761131965231</v>
      </c>
      <c r="O290" s="148">
        <f>N290*(1+O283)</f>
        <v>34935.261581993778</v>
      </c>
    </row>
    <row r="291" spans="1:15" hidden="1" outlineLevel="2" x14ac:dyDescent="0.25">
      <c r="A291" s="71"/>
      <c r="B291" s="71"/>
      <c r="C291" s="71"/>
      <c r="D291" s="71"/>
      <c r="E291" s="71"/>
      <c r="F291" s="123"/>
      <c r="G291" s="123"/>
      <c r="H291" s="123"/>
      <c r="I291" s="123"/>
      <c r="J291" s="123"/>
      <c r="K291" s="148"/>
      <c r="L291" s="148"/>
      <c r="M291" s="148"/>
      <c r="N291" s="148"/>
      <c r="O291" s="148"/>
    </row>
    <row r="292" spans="1:15" hidden="1" outlineLevel="2" x14ac:dyDescent="0.25">
      <c r="A292" s="71"/>
      <c r="B292" s="71"/>
      <c r="C292" s="71" t="s">
        <v>103</v>
      </c>
      <c r="D292" s="71"/>
      <c r="E292" s="71"/>
      <c r="F292" s="123"/>
      <c r="G292" s="123"/>
      <c r="H292" s="123"/>
      <c r="I292" s="123"/>
      <c r="J292" s="123">
        <f>J213</f>
        <v>14013.04</v>
      </c>
      <c r="K292" s="148">
        <f>J292*(1+K285)</f>
        <v>17366.891750217219</v>
      </c>
      <c r="L292" s="148">
        <f>K292*(1+L285)</f>
        <v>19797.612781846823</v>
      </c>
      <c r="M292" s="148">
        <f>L292*(1+M285)</f>
        <v>22650.798944398688</v>
      </c>
      <c r="N292" s="148">
        <f>M292*(1+N285)</f>
        <v>26004.900645674839</v>
      </c>
      <c r="O292" s="148">
        <f>N292*(1+O285)</f>
        <v>29869.970128274621</v>
      </c>
    </row>
    <row r="293" spans="1:15" hidden="1" outlineLevel="2" x14ac:dyDescent="0.25">
      <c r="A293" s="71"/>
      <c r="B293" s="71"/>
      <c r="C293" s="71" t="s">
        <v>104</v>
      </c>
      <c r="D293" s="71"/>
      <c r="E293" s="71"/>
      <c r="F293" s="123"/>
      <c r="G293" s="123"/>
      <c r="H293" s="123"/>
      <c r="I293" s="123"/>
      <c r="J293" s="123">
        <f>J215</f>
        <v>4465.13</v>
      </c>
      <c r="K293" s="148">
        <f>J293*(1+K283)</f>
        <v>5366.3015083494356</v>
      </c>
      <c r="L293" s="148">
        <f>K293*(1+L283)</f>
        <v>6117.3847836999312</v>
      </c>
      <c r="M293" s="148">
        <f>L293*(1+M283)</f>
        <v>6999.0081293116946</v>
      </c>
      <c r="N293" s="148">
        <f>M293*(1+N283)</f>
        <v>8035.4124138314337</v>
      </c>
      <c r="O293" s="148">
        <f>N293*(1+O283)</f>
        <v>9229.7037408382475</v>
      </c>
    </row>
    <row r="294" spans="1:15" hidden="1" outlineLevel="2" x14ac:dyDescent="0.25">
      <c r="A294" s="71"/>
      <c r="B294" s="71"/>
      <c r="C294" s="71" t="s">
        <v>150</v>
      </c>
      <c r="D294" s="71"/>
      <c r="E294" s="71"/>
      <c r="F294" s="123"/>
      <c r="G294" s="123"/>
      <c r="H294" s="123"/>
      <c r="I294" s="123"/>
      <c r="J294" s="123">
        <f>J212</f>
        <v>5953.85</v>
      </c>
      <c r="K294" s="148">
        <f>J294</f>
        <v>5953.85</v>
      </c>
      <c r="L294" s="148">
        <f>K294</f>
        <v>5953.85</v>
      </c>
      <c r="M294" s="148">
        <f>L294</f>
        <v>5953.85</v>
      </c>
      <c r="N294" s="148">
        <f>M294</f>
        <v>5953.85</v>
      </c>
      <c r="O294" s="148">
        <f>N294</f>
        <v>5953.85</v>
      </c>
    </row>
    <row r="295" spans="1:15" hidden="1" outlineLevel="2" x14ac:dyDescent="0.25">
      <c r="A295" s="71"/>
      <c r="B295" s="71"/>
      <c r="C295" s="71"/>
      <c r="D295" s="71"/>
      <c r="E295" s="71"/>
      <c r="F295" s="123"/>
      <c r="G295" s="123"/>
      <c r="H295" s="123"/>
      <c r="I295" s="123"/>
      <c r="J295" s="123"/>
      <c r="K295" s="148"/>
      <c r="L295" s="148"/>
      <c r="M295" s="148"/>
      <c r="N295" s="148"/>
      <c r="O295" s="148"/>
    </row>
    <row r="296" spans="1:15" hidden="1" outlineLevel="2" x14ac:dyDescent="0.25">
      <c r="A296" s="71"/>
      <c r="B296" s="71"/>
      <c r="C296" s="71" t="s">
        <v>88</v>
      </c>
      <c r="D296" s="71"/>
      <c r="E296" s="71"/>
      <c r="F296" s="123">
        <f t="shared" ref="F296:O296" si="30">F94</f>
        <v>10076.99</v>
      </c>
      <c r="G296" s="123">
        <f t="shared" si="30"/>
        <v>12166.42</v>
      </c>
      <c r="H296" s="123">
        <f t="shared" si="30"/>
        <v>14465.87</v>
      </c>
      <c r="I296" s="123">
        <f t="shared" si="30"/>
        <v>18850.259999999998</v>
      </c>
      <c r="J296" s="123">
        <f t="shared" si="30"/>
        <v>22007.43</v>
      </c>
      <c r="K296" s="148">
        <f t="shared" si="30"/>
        <v>25667.936469337052</v>
      </c>
      <c r="L296" s="148">
        <f t="shared" si="30"/>
        <v>29260.496031054237</v>
      </c>
      <c r="M296" s="148">
        <f t="shared" si="30"/>
        <v>33477.451039981323</v>
      </c>
      <c r="N296" s="148">
        <f t="shared" si="30"/>
        <v>38434.749710249984</v>
      </c>
      <c r="O296" s="148">
        <f t="shared" si="30"/>
        <v>44147.249065680342</v>
      </c>
    </row>
    <row r="297" spans="1:15" hidden="1" outlineLevel="2" x14ac:dyDescent="0.25">
      <c r="A297" s="71"/>
      <c r="B297" s="71"/>
      <c r="C297" s="71" t="s">
        <v>149</v>
      </c>
      <c r="D297" s="71"/>
      <c r="E297" s="71"/>
      <c r="F297" s="123">
        <f>F214</f>
        <v>497.4</v>
      </c>
      <c r="G297" s="123">
        <f>G214</f>
        <v>291.91000000000003</v>
      </c>
      <c r="H297" s="123">
        <f>H214</f>
        <v>825.43</v>
      </c>
      <c r="I297" s="123">
        <f>I214</f>
        <v>739</v>
      </c>
      <c r="J297" s="123">
        <f>J214</f>
        <v>505.26</v>
      </c>
      <c r="K297" s="148"/>
      <c r="L297" s="148"/>
      <c r="M297" s="148"/>
      <c r="N297" s="148"/>
      <c r="O297" s="148"/>
    </row>
    <row r="298" spans="1:15" hidden="1" outlineLevel="2" x14ac:dyDescent="0.25">
      <c r="A298" s="71"/>
      <c r="B298" s="71"/>
      <c r="C298" s="71" t="s">
        <v>151</v>
      </c>
      <c r="D298" s="71"/>
      <c r="E298" s="71"/>
      <c r="F298" s="184">
        <f>F297/F296</f>
        <v>4.9359977532973637E-2</v>
      </c>
      <c r="G298" s="184">
        <f>G297/G296</f>
        <v>2.3993089174958619E-2</v>
      </c>
      <c r="H298" s="184">
        <f>H297/H296</f>
        <v>5.7060515544519609E-2</v>
      </c>
      <c r="I298" s="184">
        <f>I297/I296</f>
        <v>3.9203703291095189E-2</v>
      </c>
      <c r="J298" s="184">
        <f>J297/J296</f>
        <v>2.2958609887660665E-2</v>
      </c>
      <c r="K298" s="148"/>
      <c r="L298" s="148"/>
      <c r="M298" s="148"/>
      <c r="N298" s="148"/>
      <c r="O298" s="148"/>
    </row>
    <row r="299" spans="1:15" hidden="1" outlineLevel="2" x14ac:dyDescent="0.25">
      <c r="A299" s="71"/>
      <c r="B299" s="71"/>
      <c r="C299" s="71" t="s">
        <v>152</v>
      </c>
      <c r="D299" s="71"/>
      <c r="E299" s="71"/>
      <c r="F299" s="123"/>
      <c r="G299" s="123"/>
      <c r="H299" s="123"/>
      <c r="I299" s="123"/>
      <c r="J299" s="190">
        <f>AVERAGE(F298:J298)</f>
        <v>3.8515179086241538E-2</v>
      </c>
      <c r="K299" s="148"/>
      <c r="L299" s="148"/>
      <c r="M299" s="148"/>
      <c r="N299" s="148"/>
      <c r="O299" s="148"/>
    </row>
    <row r="300" spans="1:15" hidden="1" outlineLevel="2" x14ac:dyDescent="0.25">
      <c r="A300" s="71"/>
      <c r="B300" s="71"/>
      <c r="C300" s="71" t="s">
        <v>153</v>
      </c>
      <c r="D300" s="71"/>
      <c r="E300" s="71"/>
      <c r="F300" s="123"/>
      <c r="G300" s="123"/>
      <c r="H300" s="123"/>
      <c r="I300" s="123"/>
      <c r="J300" s="123"/>
      <c r="K300" s="148">
        <f>K296*$J$299</f>
        <v>988.6051698907869</v>
      </c>
      <c r="L300" s="148">
        <f>L296*$J$299</f>
        <v>1126.9732447883137</v>
      </c>
      <c r="M300" s="148">
        <f>M296*$J$299</f>
        <v>1289.3900221557637</v>
      </c>
      <c r="N300" s="148">
        <f>N296*$J$299</f>
        <v>1480.3212682251483</v>
      </c>
      <c r="O300" s="148">
        <f>O296*$J$299</f>
        <v>1700.3392039295877</v>
      </c>
    </row>
    <row r="301" spans="1:15" hidden="1" outlineLevel="2" x14ac:dyDescent="0.25">
      <c r="A301" s="71"/>
      <c r="B301" s="71"/>
      <c r="C301" s="71"/>
      <c r="D301" s="71"/>
      <c r="E301" s="71"/>
      <c r="F301" s="123"/>
      <c r="G301" s="123"/>
      <c r="H301" s="123"/>
      <c r="I301" s="123"/>
      <c r="J301" s="123"/>
      <c r="K301" s="148"/>
      <c r="L301" s="148"/>
      <c r="M301" s="148"/>
      <c r="N301" s="148"/>
      <c r="O301" s="148"/>
    </row>
    <row r="302" spans="1:15" hidden="1" outlineLevel="2" x14ac:dyDescent="0.25">
      <c r="A302" s="71"/>
      <c r="B302" s="71"/>
      <c r="C302" s="71"/>
      <c r="D302" s="71"/>
      <c r="E302" s="71"/>
      <c r="F302" s="123"/>
      <c r="G302" s="123"/>
      <c r="H302" s="123"/>
      <c r="I302" s="123"/>
      <c r="J302" s="123"/>
      <c r="K302" s="148"/>
      <c r="L302" s="148"/>
      <c r="M302" s="148"/>
      <c r="N302" s="148"/>
      <c r="O302" s="148"/>
    </row>
    <row r="303" spans="1:15" hidden="1" outlineLevel="2" x14ac:dyDescent="0.25">
      <c r="A303" s="71"/>
      <c r="B303" s="71"/>
      <c r="C303" s="71" t="s">
        <v>376</v>
      </c>
      <c r="D303" s="71"/>
      <c r="E303" s="71"/>
      <c r="F303" s="123"/>
      <c r="G303" s="123"/>
      <c r="H303" s="123"/>
      <c r="I303" s="123"/>
      <c r="J303" s="123"/>
      <c r="K303" s="148">
        <f>K292-J292</f>
        <v>3353.8517502172181</v>
      </c>
      <c r="L303" s="148">
        <f>L292-K292</f>
        <v>2430.7210316296041</v>
      </c>
      <c r="M303" s="148">
        <f>M292-L292</f>
        <v>2853.186162551865</v>
      </c>
      <c r="N303" s="148">
        <f>N292-M292</f>
        <v>3354.1017012761513</v>
      </c>
      <c r="O303" s="148">
        <f>O292-N292</f>
        <v>3865.0694825997816</v>
      </c>
    </row>
    <row r="304" spans="1:15" hidden="1" outlineLevel="2" x14ac:dyDescent="0.25">
      <c r="A304" s="71"/>
      <c r="B304" s="71"/>
      <c r="C304" s="71" t="s">
        <v>377</v>
      </c>
      <c r="D304" s="71"/>
      <c r="E304" s="71"/>
      <c r="F304" s="123"/>
      <c r="G304" s="123"/>
      <c r="H304" s="123"/>
      <c r="I304" s="123"/>
      <c r="J304" s="123"/>
      <c r="K304" s="148">
        <f>K215-J215</f>
        <v>901.1715083494355</v>
      </c>
      <c r="L304" s="148">
        <f>L215-K215</f>
        <v>751.08327535049557</v>
      </c>
      <c r="M304" s="148">
        <f>M215-L215</f>
        <v>881.6233456117634</v>
      </c>
      <c r="N304" s="148">
        <f>N215-M215</f>
        <v>1036.4042845197391</v>
      </c>
      <c r="O304" s="148">
        <f>O215-N215</f>
        <v>1194.2913270068138</v>
      </c>
    </row>
    <row r="305" spans="1:15" hidden="1" outlineLevel="2" x14ac:dyDescent="0.25">
      <c r="A305" s="71"/>
      <c r="B305" s="71"/>
      <c r="C305" s="71" t="s">
        <v>378</v>
      </c>
      <c r="D305" s="71"/>
      <c r="E305" s="71"/>
      <c r="F305" s="123"/>
      <c r="G305" s="123"/>
      <c r="H305" s="123"/>
      <c r="I305" s="123"/>
      <c r="J305" s="123"/>
      <c r="K305" s="148">
        <f>K214-J214</f>
        <v>483.34516989078691</v>
      </c>
      <c r="L305" s="148">
        <f>L214-K214</f>
        <v>138.36807489752675</v>
      </c>
      <c r="M305" s="148">
        <f>M214-L214</f>
        <v>162.41677736745009</v>
      </c>
      <c r="N305" s="148">
        <f>N214-M214</f>
        <v>190.93124606938454</v>
      </c>
      <c r="O305" s="148">
        <f>O214-N214</f>
        <v>220.01793570443942</v>
      </c>
    </row>
    <row r="306" spans="1:15" hidden="1" outlineLevel="2" x14ac:dyDescent="0.25">
      <c r="A306" s="139"/>
      <c r="B306" s="139"/>
      <c r="C306" s="139" t="s">
        <v>379</v>
      </c>
      <c r="D306" s="139"/>
      <c r="E306" s="139"/>
      <c r="F306" s="140"/>
      <c r="G306" s="140"/>
      <c r="H306" s="140"/>
      <c r="I306" s="140"/>
      <c r="J306" s="140"/>
      <c r="K306" s="157">
        <f>SUM(K303:K305)</f>
        <v>4738.3684284574401</v>
      </c>
      <c r="L306" s="157">
        <f>SUM(L303:L305)</f>
        <v>3320.1723818776263</v>
      </c>
      <c r="M306" s="157">
        <f>SUM(M303:M305)</f>
        <v>3897.2262855310782</v>
      </c>
      <c r="N306" s="157">
        <f>SUM(N303:N305)</f>
        <v>4581.437231865275</v>
      </c>
      <c r="O306" s="157">
        <f>SUM(O303:O305)</f>
        <v>5279.3787453110344</v>
      </c>
    </row>
    <row r="307" spans="1:15" hidden="1" outlineLevel="2" x14ac:dyDescent="0.25">
      <c r="A307" s="71"/>
      <c r="B307" s="71"/>
      <c r="C307" s="71"/>
      <c r="D307" s="71"/>
      <c r="E307" s="71"/>
      <c r="F307" s="123"/>
      <c r="G307" s="123"/>
      <c r="H307" s="123"/>
      <c r="I307" s="123"/>
      <c r="J307" s="123"/>
      <c r="K307" s="148"/>
      <c r="L307" s="148"/>
      <c r="M307" s="148"/>
      <c r="N307" s="148"/>
      <c r="O307" s="148"/>
    </row>
    <row r="308" spans="1:15" hidden="1" outlineLevel="2" x14ac:dyDescent="0.25">
      <c r="A308" s="71"/>
      <c r="B308" s="71"/>
      <c r="C308" s="71" t="s">
        <v>322</v>
      </c>
      <c r="D308" s="71"/>
      <c r="E308" s="71"/>
      <c r="F308" s="123"/>
      <c r="G308" s="123"/>
      <c r="H308" s="123"/>
      <c r="I308" s="123"/>
      <c r="J308" s="123"/>
      <c r="K308" s="148">
        <f t="shared" ref="K308:O310" si="31">J288-K288</f>
        <v>-2520.8474338825599</v>
      </c>
      <c r="L308" s="148">
        <f t="shared" si="31"/>
        <v>-2101.0055574962098</v>
      </c>
      <c r="M308" s="148">
        <f t="shared" si="31"/>
        <v>-2466.1653501528635</v>
      </c>
      <c r="N308" s="148">
        <f t="shared" si="31"/>
        <v>-2899.1341347239031</v>
      </c>
      <c r="O308" s="148">
        <f t="shared" si="31"/>
        <v>-3340.7916241243729</v>
      </c>
    </row>
    <row r="309" spans="1:15" hidden="1" outlineLevel="2" x14ac:dyDescent="0.25">
      <c r="A309" s="71"/>
      <c r="B309" s="71"/>
      <c r="C309" s="71" t="s">
        <v>323</v>
      </c>
      <c r="D309" s="71"/>
      <c r="E309" s="71"/>
      <c r="F309" s="123"/>
      <c r="G309" s="123"/>
      <c r="H309" s="123"/>
      <c r="I309" s="123"/>
      <c r="J309" s="123"/>
      <c r="K309" s="148">
        <f t="shared" si="31"/>
        <v>-7064.7501926219702</v>
      </c>
      <c r="L309" s="148">
        <f t="shared" si="31"/>
        <v>-5120.2134606287582</v>
      </c>
      <c r="M309" s="148">
        <f t="shared" si="31"/>
        <v>-6010.1188104599787</v>
      </c>
      <c r="N309" s="148">
        <f t="shared" si="31"/>
        <v>-7065.2767042042542</v>
      </c>
      <c r="O309" s="148">
        <f t="shared" si="31"/>
        <v>-8141.6092318110386</v>
      </c>
    </row>
    <row r="310" spans="1:15" hidden="1" outlineLevel="2" x14ac:dyDescent="0.25">
      <c r="A310" s="71"/>
      <c r="B310" s="71"/>
      <c r="C310" s="71" t="s">
        <v>324</v>
      </c>
      <c r="D310" s="71"/>
      <c r="E310" s="71"/>
      <c r="F310" s="123"/>
      <c r="G310" s="123"/>
      <c r="H310" s="123"/>
      <c r="I310" s="123"/>
      <c r="J310" s="123"/>
      <c r="K310" s="148">
        <f t="shared" si="31"/>
        <v>-3411.015484183692</v>
      </c>
      <c r="L310" s="148">
        <f t="shared" si="31"/>
        <v>-2842.9179777602658</v>
      </c>
      <c r="M310" s="148">
        <f t="shared" si="31"/>
        <v>-3337.0239241224226</v>
      </c>
      <c r="N310" s="148">
        <f t="shared" si="31"/>
        <v>-3922.8837458988528</v>
      </c>
      <c r="O310" s="148">
        <f t="shared" si="31"/>
        <v>-4520.5004500285468</v>
      </c>
    </row>
    <row r="311" spans="1:15" hidden="1" outlineLevel="2" x14ac:dyDescent="0.25">
      <c r="A311" s="71"/>
      <c r="B311" s="71"/>
      <c r="C311" s="71"/>
      <c r="D311" s="71"/>
      <c r="E311" s="71"/>
      <c r="F311" s="123"/>
      <c r="G311" s="123"/>
      <c r="H311" s="123"/>
      <c r="I311" s="123"/>
      <c r="J311" s="123"/>
      <c r="K311" s="148"/>
      <c r="L311" s="148"/>
      <c r="M311" s="148"/>
      <c r="N311" s="148"/>
      <c r="O311" s="148"/>
    </row>
    <row r="312" spans="1:15" hidden="1" outlineLevel="2" x14ac:dyDescent="0.25">
      <c r="A312" s="71"/>
      <c r="B312" s="71"/>
      <c r="C312" s="71"/>
      <c r="D312" s="71"/>
      <c r="E312" s="71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</row>
    <row r="313" spans="1:15" collapsed="1" x14ac:dyDescent="0.25">
      <c r="A313" s="71"/>
      <c r="B313" s="71"/>
      <c r="C313" s="71"/>
      <c r="D313" s="71"/>
      <c r="E313" s="71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</row>
    <row r="314" spans="1:15" ht="25.5" x14ac:dyDescent="0.35">
      <c r="A314" s="142" t="s">
        <v>154</v>
      </c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5"/>
    </row>
    <row r="315" spans="1:15" hidden="1" outlineLevel="1" x14ac:dyDescent="0.2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</row>
    <row r="316" spans="1:15" hidden="1" outlineLevel="1" x14ac:dyDescent="0.25">
      <c r="A316" s="144" t="s">
        <v>155</v>
      </c>
      <c r="B316" s="86"/>
      <c r="C316" s="86"/>
      <c r="D316" s="86"/>
      <c r="E316" s="86"/>
      <c r="F316" s="145">
        <f>G316-1</f>
        <v>2021</v>
      </c>
      <c r="G316" s="145">
        <f>H316-1</f>
        <v>2022</v>
      </c>
      <c r="H316" s="145">
        <f>I316-1</f>
        <v>2023</v>
      </c>
      <c r="I316" s="145">
        <f>J316-1</f>
        <v>2024</v>
      </c>
      <c r="J316" s="145">
        <f>K316-1</f>
        <v>2025</v>
      </c>
      <c r="K316" s="146">
        <f>K$82</f>
        <v>2026</v>
      </c>
      <c r="L316" s="146">
        <f>L$82</f>
        <v>2027</v>
      </c>
      <c r="M316" s="146">
        <f>M$82</f>
        <v>2028</v>
      </c>
      <c r="N316" s="146">
        <f>N$82</f>
        <v>2029</v>
      </c>
      <c r="O316" s="146">
        <f>O$82</f>
        <v>2030</v>
      </c>
    </row>
    <row r="317" spans="1:15" hidden="1" outlineLevel="1" x14ac:dyDescent="0.25">
      <c r="A317" s="71"/>
      <c r="B317" s="71"/>
      <c r="C317" s="71"/>
      <c r="D317" s="71"/>
      <c r="E317" s="71"/>
      <c r="F317" s="123"/>
      <c r="G317" s="123"/>
      <c r="H317" s="123"/>
      <c r="I317" s="123"/>
      <c r="J317" s="123"/>
      <c r="K317" s="148"/>
      <c r="L317" s="148"/>
      <c r="M317" s="148"/>
      <c r="N317" s="148"/>
      <c r="O317" s="148"/>
    </row>
    <row r="318" spans="1:15" hidden="1" outlineLevel="1" x14ac:dyDescent="0.25">
      <c r="A318" s="71"/>
      <c r="B318" s="72" t="s">
        <v>169</v>
      </c>
      <c r="C318" s="71"/>
      <c r="D318" s="71"/>
      <c r="E318" s="71"/>
      <c r="F318" s="123"/>
      <c r="G318" s="123"/>
      <c r="H318" s="123"/>
      <c r="I318" s="123"/>
      <c r="J318" s="123"/>
      <c r="K318" s="148"/>
      <c r="L318" s="148"/>
      <c r="M318" s="148"/>
      <c r="N318" s="148"/>
      <c r="O318" s="148"/>
    </row>
    <row r="319" spans="1:15" hidden="1" outlineLevel="1" x14ac:dyDescent="0.25">
      <c r="A319" s="71"/>
      <c r="B319" s="71"/>
      <c r="C319" s="71" t="s">
        <v>172</v>
      </c>
      <c r="D319" s="71"/>
      <c r="E319" s="71"/>
      <c r="F319" s="123"/>
      <c r="G319" s="123"/>
      <c r="H319" s="123"/>
      <c r="I319" s="123"/>
      <c r="J319" s="123"/>
      <c r="K319" s="148">
        <f>K58</f>
        <v>11165.878500000001</v>
      </c>
      <c r="L319" s="148">
        <f>L58</f>
        <v>13102.57943291684</v>
      </c>
      <c r="M319" s="148">
        <f>M58</f>
        <v>14023.967730534931</v>
      </c>
      <c r="N319" s="148">
        <f>N58</f>
        <v>15004.450029766867</v>
      </c>
      <c r="O319" s="148">
        <f>O58</f>
        <v>16083.349731684462</v>
      </c>
    </row>
    <row r="320" spans="1:15" hidden="1" outlineLevel="1" x14ac:dyDescent="0.25">
      <c r="A320" s="71"/>
      <c r="B320" s="71"/>
      <c r="C320" s="71" t="s">
        <v>170</v>
      </c>
      <c r="D320" s="71"/>
      <c r="E320" s="71"/>
      <c r="F320" s="123"/>
      <c r="G320" s="123"/>
      <c r="H320" s="123"/>
      <c r="I320" s="123"/>
      <c r="J320" s="123"/>
      <c r="K320" s="148">
        <f>K57</f>
        <v>5000</v>
      </c>
      <c r="L320" s="148">
        <f>L57</f>
        <v>5250</v>
      </c>
      <c r="M320" s="148">
        <f>M57</f>
        <v>5512.5</v>
      </c>
      <c r="N320" s="148">
        <f>N57</f>
        <v>5788.125</v>
      </c>
      <c r="O320" s="148">
        <f>O57</f>
        <v>6077.53125</v>
      </c>
    </row>
    <row r="321" spans="1:15" hidden="1" outlineLevel="1" x14ac:dyDescent="0.25">
      <c r="A321" s="71"/>
      <c r="B321" s="71"/>
      <c r="C321" s="127" t="s">
        <v>173</v>
      </c>
      <c r="D321" s="71"/>
      <c r="E321" s="71"/>
      <c r="F321" s="123"/>
      <c r="G321" s="123"/>
      <c r="H321" s="123"/>
      <c r="I321" s="123"/>
      <c r="J321" s="123"/>
      <c r="K321" s="148">
        <f>K59</f>
        <v>4900</v>
      </c>
      <c r="L321" s="148"/>
      <c r="M321" s="148"/>
      <c r="N321" s="148"/>
      <c r="O321" s="148"/>
    </row>
    <row r="322" spans="1:15" hidden="1" outlineLevel="1" x14ac:dyDescent="0.25">
      <c r="A322" s="71"/>
      <c r="B322" s="71"/>
      <c r="C322" s="71" t="s">
        <v>182</v>
      </c>
      <c r="D322" s="71"/>
      <c r="E322" s="71"/>
      <c r="F322" s="123"/>
      <c r="G322" s="123"/>
      <c r="H322" s="123"/>
      <c r="I322" s="123"/>
      <c r="J322" s="123"/>
      <c r="K322" s="148">
        <f>K61</f>
        <v>3144</v>
      </c>
      <c r="L322" s="148">
        <f>L61</f>
        <v>0</v>
      </c>
      <c r="M322" s="148">
        <f>M61</f>
        <v>0</v>
      </c>
      <c r="N322" s="148">
        <f>N61</f>
        <v>0</v>
      </c>
      <c r="O322" s="148">
        <f>O61</f>
        <v>0</v>
      </c>
    </row>
    <row r="323" spans="1:15" hidden="1" outlineLevel="1" x14ac:dyDescent="0.25">
      <c r="A323" s="139"/>
      <c r="B323" s="139"/>
      <c r="C323" s="139" t="s">
        <v>183</v>
      </c>
      <c r="D323" s="139"/>
      <c r="E323" s="139"/>
      <c r="F323" s="140"/>
      <c r="G323" s="140"/>
      <c r="H323" s="140"/>
      <c r="I323" s="140"/>
      <c r="J323" s="140"/>
      <c r="K323" s="157">
        <f>SUM(K319:K322)</f>
        <v>24209.878499999999</v>
      </c>
      <c r="L323" s="157">
        <f>SUM(L319:L322)</f>
        <v>18352.579432916842</v>
      </c>
      <c r="M323" s="157">
        <f>SUM(M319:M322)</f>
        <v>19536.467730534932</v>
      </c>
      <c r="N323" s="157">
        <f>SUM(N319:N322)</f>
        <v>20792.575029766867</v>
      </c>
      <c r="O323" s="157">
        <f>SUM(O319:O322)</f>
        <v>22160.880981684462</v>
      </c>
    </row>
    <row r="324" spans="1:15" hidden="1" outlineLevel="1" x14ac:dyDescent="0.25">
      <c r="A324" s="79"/>
      <c r="B324" s="79"/>
      <c r="C324" s="79"/>
      <c r="D324" s="79"/>
      <c r="E324" s="79"/>
      <c r="F324" s="119"/>
      <c r="G324" s="119"/>
      <c r="H324" s="119"/>
      <c r="I324" s="119"/>
      <c r="J324" s="119"/>
      <c r="K324" s="161"/>
      <c r="L324" s="161"/>
      <c r="M324" s="161"/>
      <c r="N324" s="161"/>
      <c r="O324" s="161"/>
    </row>
    <row r="325" spans="1:15" hidden="1" outlineLevel="1" x14ac:dyDescent="0.25">
      <c r="A325" s="79"/>
      <c r="B325" s="79"/>
      <c r="C325" s="79"/>
      <c r="D325" s="79"/>
      <c r="E325" s="79"/>
      <c r="F325" s="119"/>
      <c r="G325" s="119"/>
      <c r="H325" s="119"/>
      <c r="I325" s="119"/>
      <c r="J325" s="119"/>
      <c r="K325" s="161"/>
      <c r="L325" s="161"/>
      <c r="M325" s="161"/>
      <c r="N325" s="161"/>
      <c r="O325" s="161"/>
    </row>
    <row r="326" spans="1:15" hidden="1" outlineLevel="1" x14ac:dyDescent="0.25">
      <c r="A326" s="79"/>
      <c r="B326" s="79"/>
      <c r="C326" s="187" t="s">
        <v>316</v>
      </c>
      <c r="D326" s="79"/>
      <c r="E326" s="79"/>
      <c r="F326" s="119"/>
      <c r="G326" s="119"/>
      <c r="H326" s="119"/>
      <c r="I326" s="119"/>
      <c r="J326" s="119"/>
      <c r="K326" s="161">
        <f>K320+K319+K321</f>
        <v>21065.878499999999</v>
      </c>
      <c r="L326" s="161">
        <f>L320+L319+L321</f>
        <v>18352.579432916842</v>
      </c>
      <c r="M326" s="161">
        <f>M320+M319+M321</f>
        <v>19536.467730534932</v>
      </c>
      <c r="N326" s="161">
        <f>N320+N319+N321</f>
        <v>20792.575029766867</v>
      </c>
      <c r="O326" s="161">
        <f>O320+O319+O321</f>
        <v>22160.880981684462</v>
      </c>
    </row>
    <row r="327" spans="1:15" hidden="1" outlineLevel="1" x14ac:dyDescent="0.25">
      <c r="A327" s="79"/>
      <c r="B327" s="79"/>
      <c r="C327" s="79"/>
      <c r="D327" s="79"/>
      <c r="E327" s="79"/>
      <c r="F327" s="119"/>
      <c r="G327" s="119"/>
      <c r="H327" s="119"/>
      <c r="I327" s="119"/>
      <c r="J327" s="119"/>
      <c r="K327" s="161"/>
      <c r="L327" s="161"/>
      <c r="M327" s="161"/>
      <c r="N327" s="161"/>
      <c r="O327" s="161"/>
    </row>
    <row r="328" spans="1:15" hidden="1" outlineLevel="1" x14ac:dyDescent="0.25">
      <c r="A328" s="71"/>
      <c r="B328" s="71"/>
      <c r="C328" s="71"/>
      <c r="D328" s="71"/>
      <c r="E328" s="71"/>
      <c r="F328" s="123"/>
      <c r="G328" s="123"/>
      <c r="H328" s="123"/>
      <c r="I328" s="123"/>
      <c r="J328" s="123"/>
      <c r="K328" s="148"/>
      <c r="L328" s="148"/>
      <c r="M328" s="148"/>
      <c r="N328" s="148"/>
      <c r="O328" s="148"/>
    </row>
    <row r="329" spans="1:15" hidden="1" outlineLevel="1" x14ac:dyDescent="0.25">
      <c r="A329" s="71"/>
      <c r="B329" s="72" t="s">
        <v>185</v>
      </c>
      <c r="C329" s="71"/>
      <c r="D329" s="71"/>
      <c r="E329" s="71"/>
      <c r="F329" s="123"/>
      <c r="G329" s="123"/>
      <c r="H329" s="123"/>
      <c r="I329" s="123"/>
      <c r="J329" s="123"/>
      <c r="K329" s="148"/>
      <c r="L329" s="148"/>
      <c r="M329" s="148"/>
      <c r="N329" s="148"/>
      <c r="O329" s="148"/>
    </row>
    <row r="330" spans="1:15" hidden="1" outlineLevel="1" x14ac:dyDescent="0.25">
      <c r="A330" s="71"/>
      <c r="B330" s="71"/>
      <c r="C330" s="71" t="s">
        <v>184</v>
      </c>
      <c r="D330" s="71"/>
      <c r="E330" s="71"/>
      <c r="F330" s="123"/>
      <c r="G330" s="123"/>
      <c r="H330" s="123"/>
      <c r="I330" s="123"/>
      <c r="J330" s="123"/>
      <c r="K330" s="148">
        <f>K323*$E$52</f>
        <v>494.36571896999999</v>
      </c>
      <c r="L330" s="148">
        <f>L323*$E$52</f>
        <v>374.75967202016193</v>
      </c>
      <c r="M330" s="148">
        <f>M323*$E$52</f>
        <v>398.9346710575233</v>
      </c>
      <c r="N330" s="148">
        <f>N323*$E$52</f>
        <v>424.58438210783942</v>
      </c>
      <c r="O330" s="148">
        <f>O323*$E$52</f>
        <v>452.52518964599676</v>
      </c>
    </row>
    <row r="331" spans="1:15" hidden="1" outlineLevel="1" x14ac:dyDescent="0.25">
      <c r="A331" s="71"/>
      <c r="B331" s="71"/>
      <c r="C331" s="71" t="s">
        <v>186</v>
      </c>
      <c r="D331" s="71"/>
      <c r="E331" s="71"/>
      <c r="F331" s="123"/>
      <c r="G331" s="123"/>
      <c r="H331" s="123"/>
      <c r="I331" s="123"/>
      <c r="J331" s="123"/>
      <c r="K331" s="148">
        <f>K323*$E$53</f>
        <v>19642.442822189998</v>
      </c>
      <c r="L331" s="148">
        <f>L323*$E$53</f>
        <v>14890.18179710275</v>
      </c>
      <c r="M331" s="148">
        <f>M323*$E$53</f>
        <v>15850.717728492211</v>
      </c>
      <c r="N331" s="148">
        <f>N323*$E$53</f>
        <v>16869.847824651049</v>
      </c>
      <c r="O331" s="148">
        <f>O323*$E$53</f>
        <v>17980.009175679872</v>
      </c>
    </row>
    <row r="332" spans="1:15" hidden="1" outlineLevel="1" x14ac:dyDescent="0.25">
      <c r="A332" s="71"/>
      <c r="B332" s="71"/>
      <c r="C332" s="71" t="s">
        <v>168</v>
      </c>
      <c r="D332" s="71"/>
      <c r="E332" s="71"/>
      <c r="F332" s="123"/>
      <c r="G332" s="123"/>
      <c r="H332" s="123"/>
      <c r="I332" s="123"/>
      <c r="J332" s="123"/>
      <c r="K332" s="148">
        <f>K323*$E$54</f>
        <v>4073.0699588399998</v>
      </c>
      <c r="L332" s="148">
        <f>L323*$E$54</f>
        <v>3087.6379637939294</v>
      </c>
      <c r="M332" s="148">
        <f>M323*$E$54</f>
        <v>3286.8153309851969</v>
      </c>
      <c r="N332" s="148">
        <f>N323*$E$54</f>
        <v>3498.1428230079778</v>
      </c>
      <c r="O332" s="148">
        <f>O323*$E$54</f>
        <v>3728.346616358594</v>
      </c>
    </row>
    <row r="333" spans="1:15" hidden="1" outlineLevel="1" x14ac:dyDescent="0.25">
      <c r="A333" s="71"/>
      <c r="B333" s="71"/>
      <c r="C333" s="71"/>
      <c r="D333" s="71"/>
      <c r="E333" s="71"/>
      <c r="F333" s="123"/>
      <c r="G333" s="123"/>
      <c r="H333" s="123"/>
      <c r="I333" s="123"/>
      <c r="J333" s="123"/>
      <c r="K333" s="148"/>
      <c r="L333" s="148"/>
      <c r="M333" s="148"/>
      <c r="N333" s="148"/>
      <c r="O333" s="148"/>
    </row>
    <row r="334" spans="1:15" hidden="1" outlineLevel="1" x14ac:dyDescent="0.25">
      <c r="A334" s="71"/>
      <c r="B334" s="71"/>
      <c r="C334" s="71"/>
      <c r="D334" s="71"/>
      <c r="E334" s="71"/>
      <c r="F334" s="123"/>
      <c r="G334" s="123"/>
      <c r="H334" s="123"/>
      <c r="I334" s="123"/>
      <c r="J334" s="123"/>
      <c r="K334" s="148"/>
      <c r="L334" s="148"/>
      <c r="M334" s="148"/>
      <c r="N334" s="148"/>
      <c r="O334" s="148"/>
    </row>
    <row r="335" spans="1:15" hidden="1" outlineLevel="1" x14ac:dyDescent="0.25">
      <c r="A335" s="71"/>
      <c r="B335" s="72" t="s">
        <v>191</v>
      </c>
      <c r="C335" s="71"/>
      <c r="D335" s="71"/>
      <c r="E335" s="71"/>
      <c r="F335" s="123"/>
      <c r="G335" s="123"/>
      <c r="H335" s="123"/>
      <c r="I335" s="123"/>
      <c r="J335" s="123"/>
      <c r="K335" s="148"/>
      <c r="L335" s="148"/>
      <c r="M335" s="148"/>
      <c r="N335" s="148"/>
      <c r="O335" s="148"/>
    </row>
    <row r="336" spans="1:15" hidden="1" outlineLevel="1" x14ac:dyDescent="0.25">
      <c r="A336" s="71"/>
      <c r="B336" s="71"/>
      <c r="C336" s="191" t="s">
        <v>192</v>
      </c>
      <c r="D336" s="71"/>
      <c r="E336" s="71"/>
      <c r="F336" s="123"/>
      <c r="G336" s="123"/>
      <c r="H336" s="123"/>
      <c r="I336" s="123"/>
      <c r="J336" s="123"/>
      <c r="K336" s="148">
        <f>J339</f>
        <v>2663.04</v>
      </c>
      <c r="L336" s="148">
        <f>K339</f>
        <v>11152.741411094999</v>
      </c>
      <c r="M336" s="148">
        <f>L339</f>
        <v>13021.461604098875</v>
      </c>
      <c r="N336" s="148">
        <f>M339</f>
        <v>14436.089666295542</v>
      </c>
      <c r="O336" s="148">
        <f>N339</f>
        <v>15652.968745473296</v>
      </c>
    </row>
    <row r="337" spans="1:15" hidden="1" outlineLevel="1" x14ac:dyDescent="0.25">
      <c r="A337" s="71"/>
      <c r="B337" s="71"/>
      <c r="C337" s="191" t="s">
        <v>193</v>
      </c>
      <c r="D337" s="71"/>
      <c r="E337" s="71"/>
      <c r="F337" s="123"/>
      <c r="G337" s="123"/>
      <c r="H337" s="123"/>
      <c r="I337" s="123"/>
      <c r="J337" s="123"/>
      <c r="K337" s="148">
        <f>K331</f>
        <v>19642.442822189998</v>
      </c>
      <c r="L337" s="148">
        <f>L331</f>
        <v>14890.18179710275</v>
      </c>
      <c r="M337" s="148">
        <f>M331</f>
        <v>15850.717728492211</v>
      </c>
      <c r="N337" s="148">
        <f>N331</f>
        <v>16869.847824651049</v>
      </c>
      <c r="O337" s="148">
        <f>O331</f>
        <v>17980.009175679872</v>
      </c>
    </row>
    <row r="338" spans="1:15" hidden="1" outlineLevel="1" x14ac:dyDescent="0.25">
      <c r="A338" s="71"/>
      <c r="B338" s="71"/>
      <c r="C338" s="191" t="s">
        <v>196</v>
      </c>
      <c r="D338" s="71"/>
      <c r="E338" s="71"/>
      <c r="F338" s="123"/>
      <c r="G338" s="123"/>
      <c r="H338" s="123"/>
      <c r="I338" s="123"/>
      <c r="J338" s="123"/>
      <c r="K338" s="148">
        <f>-((K337+K336)*$J$342)</f>
        <v>-11152.741411094999</v>
      </c>
      <c r="L338" s="148">
        <f>-((L337+L336)*$J$342)</f>
        <v>-13021.461604098875</v>
      </c>
      <c r="M338" s="148">
        <f>-((M337+M336)*$J$342)</f>
        <v>-14436.089666295542</v>
      </c>
      <c r="N338" s="148">
        <f>-((N337+N336)*$J$342)</f>
        <v>-15652.968745473296</v>
      </c>
      <c r="O338" s="148">
        <f>-((O337+O336)*$J$342)</f>
        <v>-16816.488960576586</v>
      </c>
    </row>
    <row r="339" spans="1:15" hidden="1" outlineLevel="1" x14ac:dyDescent="0.25">
      <c r="A339" s="139"/>
      <c r="B339" s="139"/>
      <c r="C339" s="192" t="s">
        <v>194</v>
      </c>
      <c r="D339" s="139"/>
      <c r="E339" s="139"/>
      <c r="F339" s="140"/>
      <c r="G339" s="140"/>
      <c r="H339" s="140"/>
      <c r="I339" s="140"/>
      <c r="J339" s="193">
        <v>2663.04</v>
      </c>
      <c r="K339" s="157">
        <f>SUM(K336:K338)</f>
        <v>11152.741411094999</v>
      </c>
      <c r="L339" s="157">
        <f>SUM(L336:L338)</f>
        <v>13021.461604098875</v>
      </c>
      <c r="M339" s="157">
        <f>SUM(M336:M338)</f>
        <v>14436.089666295542</v>
      </c>
      <c r="N339" s="157">
        <f>SUM(N336:N338)</f>
        <v>15652.968745473296</v>
      </c>
      <c r="O339" s="157">
        <f>SUM(O336:O338)</f>
        <v>16816.488960576586</v>
      </c>
    </row>
    <row r="340" spans="1:15" hidden="1" outlineLevel="1" x14ac:dyDescent="0.25">
      <c r="A340" s="71"/>
      <c r="B340" s="71"/>
      <c r="C340" s="71"/>
      <c r="D340" s="71"/>
      <c r="E340" s="71"/>
      <c r="F340" s="123"/>
      <c r="G340" s="123"/>
      <c r="H340" s="123"/>
      <c r="I340" s="123"/>
      <c r="J340" s="123"/>
      <c r="K340" s="148"/>
      <c r="L340" s="148"/>
      <c r="M340" s="148"/>
      <c r="N340" s="148"/>
      <c r="O340" s="148"/>
    </row>
    <row r="341" spans="1:15" hidden="1" outlineLevel="1" x14ac:dyDescent="0.25">
      <c r="A341" s="71"/>
      <c r="B341" s="71"/>
      <c r="C341" s="71"/>
      <c r="D341" s="71"/>
      <c r="E341" s="71"/>
      <c r="F341" s="123"/>
      <c r="G341" s="123"/>
      <c r="H341" s="123"/>
      <c r="I341" s="123"/>
      <c r="J341" s="123"/>
      <c r="K341" s="148"/>
      <c r="L341" s="148"/>
      <c r="M341" s="148"/>
      <c r="N341" s="148"/>
      <c r="O341" s="148"/>
    </row>
    <row r="342" spans="1:15" hidden="1" outlineLevel="1" x14ac:dyDescent="0.25">
      <c r="A342" s="71"/>
      <c r="B342" s="71"/>
      <c r="C342" s="194" t="s">
        <v>195</v>
      </c>
      <c r="D342" s="71"/>
      <c r="E342" s="71"/>
      <c r="F342" s="123"/>
      <c r="G342" s="123"/>
      <c r="H342" s="123"/>
      <c r="I342" s="123"/>
      <c r="J342" s="195">
        <f>J64</f>
        <v>0.5</v>
      </c>
      <c r="K342" s="148"/>
      <c r="L342" s="148"/>
      <c r="M342" s="148"/>
      <c r="N342" s="148"/>
      <c r="O342" s="148"/>
    </row>
    <row r="343" spans="1:15" hidden="1" outlineLevel="1" x14ac:dyDescent="0.25">
      <c r="A343" s="71"/>
      <c r="B343" s="71"/>
      <c r="C343" s="71"/>
      <c r="D343" s="71"/>
      <c r="E343" s="71"/>
      <c r="F343" s="123"/>
      <c r="G343" s="123"/>
      <c r="H343" s="123"/>
      <c r="I343" s="123"/>
      <c r="J343" s="123"/>
      <c r="K343" s="148"/>
      <c r="L343" s="148"/>
      <c r="M343" s="148"/>
      <c r="N343" s="148"/>
      <c r="O343" s="148"/>
    </row>
    <row r="344" spans="1:15" hidden="1" outlineLevel="1" x14ac:dyDescent="0.25">
      <c r="A344" s="71"/>
      <c r="B344" s="72" t="s">
        <v>176</v>
      </c>
      <c r="C344" s="71"/>
      <c r="D344" s="71"/>
      <c r="E344" s="71"/>
      <c r="F344" s="123"/>
      <c r="G344" s="123"/>
      <c r="H344" s="123"/>
      <c r="I344" s="123"/>
      <c r="J344" s="123"/>
      <c r="K344" s="148"/>
      <c r="L344" s="148"/>
      <c r="M344" s="148"/>
      <c r="N344" s="148"/>
      <c r="O344" s="148"/>
    </row>
    <row r="345" spans="1:15" hidden="1" outlineLevel="1" x14ac:dyDescent="0.25">
      <c r="A345" s="71"/>
      <c r="B345" s="71"/>
      <c r="C345" s="71" t="s">
        <v>180</v>
      </c>
      <c r="D345" s="71"/>
      <c r="E345" s="71"/>
      <c r="F345" s="123"/>
      <c r="G345" s="123"/>
      <c r="H345" s="123"/>
      <c r="I345" s="123"/>
      <c r="J345" s="149">
        <v>8490.0300000000007</v>
      </c>
      <c r="K345" s="148">
        <f>J349</f>
        <v>9434.5</v>
      </c>
      <c r="L345" s="148">
        <f>K349</f>
        <v>9928.8657189700007</v>
      </c>
      <c r="M345" s="148">
        <f>L349</f>
        <v>10303.625390990162</v>
      </c>
      <c r="N345" s="148">
        <f>M349</f>
        <v>10702.560062047685</v>
      </c>
      <c r="O345" s="148">
        <f>N349</f>
        <v>11127.144444155525</v>
      </c>
    </row>
    <row r="346" spans="1:15" hidden="1" outlineLevel="1" x14ac:dyDescent="0.25">
      <c r="A346" s="79"/>
      <c r="B346" s="71"/>
      <c r="C346" s="71" t="s">
        <v>177</v>
      </c>
      <c r="D346" s="71"/>
      <c r="E346" s="71"/>
      <c r="F346" s="123"/>
      <c r="G346" s="123"/>
      <c r="H346" s="123"/>
      <c r="I346" s="123"/>
      <c r="J346" s="149">
        <v>715.07</v>
      </c>
      <c r="K346" s="148">
        <f>K330</f>
        <v>494.36571896999999</v>
      </c>
      <c r="L346" s="148">
        <f>L330</f>
        <v>374.75967202016193</v>
      </c>
      <c r="M346" s="148">
        <f>M330</f>
        <v>398.9346710575233</v>
      </c>
      <c r="N346" s="148">
        <f>N330</f>
        <v>424.58438210783942</v>
      </c>
      <c r="O346" s="148">
        <f>O330</f>
        <v>452.52518964599676</v>
      </c>
    </row>
    <row r="347" spans="1:15" hidden="1" outlineLevel="1" x14ac:dyDescent="0.25">
      <c r="A347" s="79"/>
      <c r="B347" s="71"/>
      <c r="C347" s="71" t="s">
        <v>178</v>
      </c>
      <c r="D347" s="71"/>
      <c r="E347" s="71"/>
      <c r="F347" s="123"/>
      <c r="G347" s="123"/>
      <c r="H347" s="123"/>
      <c r="I347" s="123"/>
      <c r="J347" s="149">
        <v>0</v>
      </c>
      <c r="K347" s="148">
        <f>J347</f>
        <v>0</v>
      </c>
      <c r="L347" s="148">
        <f>K347</f>
        <v>0</v>
      </c>
      <c r="M347" s="148">
        <f>L347</f>
        <v>0</v>
      </c>
      <c r="N347" s="148">
        <f>M347</f>
        <v>0</v>
      </c>
      <c r="O347" s="148">
        <f>N347</f>
        <v>0</v>
      </c>
    </row>
    <row r="348" spans="1:15" hidden="1" outlineLevel="1" x14ac:dyDescent="0.25">
      <c r="A348" s="71"/>
      <c r="B348" s="71"/>
      <c r="C348" s="71" t="s">
        <v>179</v>
      </c>
      <c r="D348" s="71"/>
      <c r="E348" s="71"/>
      <c r="F348" s="123"/>
      <c r="G348" s="123"/>
      <c r="H348" s="123"/>
      <c r="I348" s="123"/>
      <c r="J348" s="149">
        <v>229.4</v>
      </c>
      <c r="K348" s="148">
        <v>0</v>
      </c>
      <c r="L348" s="148">
        <v>0</v>
      </c>
      <c r="M348" s="148">
        <v>0</v>
      </c>
      <c r="N348" s="148">
        <v>0</v>
      </c>
      <c r="O348" s="148">
        <v>0</v>
      </c>
    </row>
    <row r="349" spans="1:15" hidden="1" outlineLevel="1" x14ac:dyDescent="0.25">
      <c r="A349" s="139"/>
      <c r="B349" s="139"/>
      <c r="C349" s="139" t="s">
        <v>181</v>
      </c>
      <c r="D349" s="139"/>
      <c r="E349" s="139"/>
      <c r="F349" s="140"/>
      <c r="G349" s="140"/>
      <c r="H349" s="140"/>
      <c r="I349" s="140"/>
      <c r="J349" s="140">
        <f t="shared" ref="J349:O349" si="32">SUM(J345:J348)</f>
        <v>9434.5</v>
      </c>
      <c r="K349" s="157">
        <f t="shared" si="32"/>
        <v>9928.8657189700007</v>
      </c>
      <c r="L349" s="157">
        <f t="shared" si="32"/>
        <v>10303.625390990162</v>
      </c>
      <c r="M349" s="157">
        <f t="shared" si="32"/>
        <v>10702.560062047685</v>
      </c>
      <c r="N349" s="157">
        <f t="shared" si="32"/>
        <v>11127.144444155525</v>
      </c>
      <c r="O349" s="157">
        <f t="shared" si="32"/>
        <v>11579.669633801521</v>
      </c>
    </row>
    <row r="350" spans="1:15" hidden="1" outlineLevel="1" x14ac:dyDescent="0.25">
      <c r="A350" s="71"/>
      <c r="B350" s="71"/>
      <c r="C350" s="71"/>
      <c r="D350" s="71"/>
      <c r="E350" s="71"/>
      <c r="F350" s="123"/>
      <c r="G350" s="123"/>
      <c r="H350" s="123"/>
      <c r="I350" s="123"/>
      <c r="J350" s="123"/>
      <c r="K350" s="148"/>
      <c r="L350" s="148"/>
      <c r="M350" s="148"/>
      <c r="N350" s="148"/>
      <c r="O350" s="148"/>
    </row>
    <row r="351" spans="1:15" hidden="1" outlineLevel="1" x14ac:dyDescent="0.25">
      <c r="A351" s="71"/>
      <c r="B351" s="71"/>
      <c r="C351" s="71"/>
      <c r="D351" s="71"/>
      <c r="E351" s="71"/>
      <c r="F351" s="123"/>
      <c r="G351" s="123"/>
      <c r="H351" s="123"/>
      <c r="I351" s="123"/>
      <c r="J351" s="123"/>
      <c r="K351" s="148"/>
      <c r="L351" s="148"/>
      <c r="M351" s="148"/>
      <c r="N351" s="148"/>
      <c r="O351" s="148"/>
    </row>
    <row r="352" spans="1:15" hidden="1" outlineLevel="1" x14ac:dyDescent="0.25">
      <c r="A352" s="71"/>
      <c r="B352" s="72" t="s">
        <v>187</v>
      </c>
      <c r="C352" s="71"/>
      <c r="D352" s="71"/>
      <c r="E352" s="71"/>
      <c r="F352" s="123"/>
      <c r="G352" s="123"/>
      <c r="H352" s="123"/>
      <c r="I352" s="123"/>
      <c r="J352" s="123"/>
      <c r="K352" s="148"/>
      <c r="L352" s="148"/>
      <c r="M352" s="148"/>
      <c r="N352" s="148"/>
      <c r="O352" s="148"/>
    </row>
    <row r="353" spans="1:15" hidden="1" outlineLevel="1" x14ac:dyDescent="0.25">
      <c r="A353" s="71"/>
      <c r="B353" s="71"/>
      <c r="C353" s="71" t="s">
        <v>180</v>
      </c>
      <c r="D353" s="71"/>
      <c r="E353" s="71"/>
      <c r="F353" s="123">
        <f>13696.94+38285.07</f>
        <v>51982.01</v>
      </c>
      <c r="G353" s="123">
        <f>F357</f>
        <v>54073.19</v>
      </c>
      <c r="H353" s="123">
        <f t="shared" ref="H353:O353" si="33">G357</f>
        <v>59235.76</v>
      </c>
      <c r="I353" s="123">
        <f t="shared" si="33"/>
        <v>73870.190000000017</v>
      </c>
      <c r="J353" s="123">
        <f t="shared" si="33"/>
        <v>115330.00000000003</v>
      </c>
      <c r="K353" s="148">
        <f t="shared" si="33"/>
        <v>151627.76000000004</v>
      </c>
      <c r="L353" s="148">
        <f t="shared" si="33"/>
        <v>161640.21141109502</v>
      </c>
      <c r="M353" s="148">
        <f t="shared" si="33"/>
        <v>173521.38301519389</v>
      </c>
      <c r="N353" s="148">
        <f t="shared" si="33"/>
        <v>186817.18268148942</v>
      </c>
      <c r="O353" s="148">
        <f t="shared" si="33"/>
        <v>201329.86142696271</v>
      </c>
    </row>
    <row r="354" spans="1:15" hidden="1" outlineLevel="1" x14ac:dyDescent="0.25">
      <c r="A354" s="71"/>
      <c r="B354" s="71"/>
      <c r="C354" s="71" t="s">
        <v>156</v>
      </c>
      <c r="D354" s="71"/>
      <c r="E354" s="71"/>
      <c r="F354" s="123">
        <f>477.72+1629.33</f>
        <v>2107.0500000000002</v>
      </c>
      <c r="G354" s="149">
        <v>8630.36</v>
      </c>
      <c r="H354" s="149">
        <v>16328.37</v>
      </c>
      <c r="I354" s="149">
        <v>42651.75</v>
      </c>
      <c r="J354" s="196">
        <v>30374.19</v>
      </c>
      <c r="K354" s="148">
        <f>-K338</f>
        <v>11152.741411094999</v>
      </c>
      <c r="L354" s="148">
        <f>-L338</f>
        <v>13021.461604098875</v>
      </c>
      <c r="M354" s="148">
        <f>-M338</f>
        <v>14436.089666295542</v>
      </c>
      <c r="N354" s="148">
        <f>-N338</f>
        <v>15652.968745473296</v>
      </c>
      <c r="O354" s="148">
        <f>-O338</f>
        <v>16816.488960576586</v>
      </c>
    </row>
    <row r="355" spans="1:15" hidden="1" outlineLevel="1" x14ac:dyDescent="0.25">
      <c r="A355" s="71"/>
      <c r="B355" s="71"/>
      <c r="C355" s="71" t="s">
        <v>157</v>
      </c>
      <c r="D355" s="71"/>
      <c r="E355" s="71"/>
      <c r="F355" s="123">
        <f>-0.3-631.77</f>
        <v>-632.06999999999994</v>
      </c>
      <c r="G355" s="149">
        <v>-1577.68</v>
      </c>
      <c r="H355" s="149">
        <v>-1638.04</v>
      </c>
      <c r="I355" s="149">
        <v>-1599.26</v>
      </c>
      <c r="J355" s="196">
        <v>-254.4</v>
      </c>
      <c r="K355" s="148">
        <f>$J$374</f>
        <v>-1140.29</v>
      </c>
      <c r="L355" s="148">
        <f>$J$374</f>
        <v>-1140.29</v>
      </c>
      <c r="M355" s="148">
        <f>$J$374</f>
        <v>-1140.29</v>
      </c>
      <c r="N355" s="148">
        <f>$J$374</f>
        <v>-1140.29</v>
      </c>
      <c r="O355" s="148">
        <f>$J$374</f>
        <v>-1140.29</v>
      </c>
    </row>
    <row r="356" spans="1:15" hidden="1" outlineLevel="1" x14ac:dyDescent="0.25">
      <c r="A356" s="71"/>
      <c r="B356" s="71"/>
      <c r="C356" s="71" t="s">
        <v>158</v>
      </c>
      <c r="D356" s="71"/>
      <c r="E356" s="71"/>
      <c r="F356" s="123">
        <f>240.58+375.62</f>
        <v>616.20000000000005</v>
      </c>
      <c r="G356" s="149">
        <v>-1890.11</v>
      </c>
      <c r="H356" s="149">
        <v>-55.9</v>
      </c>
      <c r="I356" s="149">
        <v>407.32</v>
      </c>
      <c r="J356" s="196">
        <v>6177.97</v>
      </c>
      <c r="K356" s="148">
        <v>0</v>
      </c>
      <c r="L356" s="148">
        <v>0</v>
      </c>
      <c r="M356" s="148">
        <v>0</v>
      </c>
      <c r="N356" s="148">
        <v>0</v>
      </c>
      <c r="O356" s="148">
        <v>0</v>
      </c>
    </row>
    <row r="357" spans="1:15" hidden="1" outlineLevel="1" x14ac:dyDescent="0.25">
      <c r="A357" s="139"/>
      <c r="B357" s="139"/>
      <c r="C357" s="139" t="s">
        <v>188</v>
      </c>
      <c r="D357" s="139"/>
      <c r="E357" s="193">
        <v>52231.45</v>
      </c>
      <c r="F357" s="140">
        <f t="shared" ref="F357:O357" si="34">SUM(F353:F356)</f>
        <v>54073.19</v>
      </c>
      <c r="G357" s="140">
        <f t="shared" si="34"/>
        <v>59235.76</v>
      </c>
      <c r="H357" s="140">
        <f t="shared" si="34"/>
        <v>73870.190000000017</v>
      </c>
      <c r="I357" s="140">
        <f t="shared" si="34"/>
        <v>115330.00000000003</v>
      </c>
      <c r="J357" s="140">
        <f t="shared" si="34"/>
        <v>151627.76000000004</v>
      </c>
      <c r="K357" s="157">
        <f t="shared" si="34"/>
        <v>161640.21141109502</v>
      </c>
      <c r="L357" s="157">
        <f t="shared" si="34"/>
        <v>173521.38301519389</v>
      </c>
      <c r="M357" s="157">
        <f t="shared" si="34"/>
        <v>186817.18268148942</v>
      </c>
      <c r="N357" s="157">
        <f t="shared" si="34"/>
        <v>201329.86142696271</v>
      </c>
      <c r="O357" s="157">
        <f t="shared" si="34"/>
        <v>217006.0603875393</v>
      </c>
    </row>
    <row r="358" spans="1:15" hidden="1" outlineLevel="1" x14ac:dyDescent="0.25">
      <c r="A358" s="79"/>
      <c r="B358" s="79"/>
      <c r="C358" s="79"/>
      <c r="D358" s="79"/>
      <c r="E358" s="79"/>
      <c r="F358" s="119"/>
      <c r="G358" s="119"/>
      <c r="H358" s="119"/>
      <c r="I358" s="119"/>
      <c r="J358" s="119"/>
      <c r="K358" s="161"/>
      <c r="L358" s="161"/>
      <c r="M358" s="161"/>
      <c r="N358" s="161"/>
      <c r="O358" s="161"/>
    </row>
    <row r="359" spans="1:15" hidden="1" outlineLevel="1" x14ac:dyDescent="0.25">
      <c r="A359" s="79"/>
      <c r="B359" s="79"/>
      <c r="C359" s="71" t="s">
        <v>159</v>
      </c>
      <c r="D359" s="71"/>
      <c r="E359" s="123"/>
      <c r="F359" s="149">
        <v>13600.31</v>
      </c>
      <c r="G359" s="149">
        <v>16338.48</v>
      </c>
      <c r="H359" s="149">
        <v>19127.47</v>
      </c>
      <c r="I359" s="149">
        <v>24503.34</v>
      </c>
      <c r="J359" s="149">
        <v>29855.97</v>
      </c>
      <c r="K359" s="161">
        <f>J363</f>
        <v>38377.39</v>
      </c>
      <c r="L359" s="161">
        <f>K363</f>
        <v>47210.58350660334</v>
      </c>
      <c r="M359" s="161">
        <f>L363</f>
        <v>56695.033978594511</v>
      </c>
      <c r="N359" s="161">
        <f>M363</f>
        <v>66928.409281155502</v>
      </c>
      <c r="O359" s="161">
        <f>N363</f>
        <v>77988.987338141073</v>
      </c>
    </row>
    <row r="360" spans="1:15" hidden="1" outlineLevel="1" x14ac:dyDescent="0.25">
      <c r="A360" s="79"/>
      <c r="B360" s="79"/>
      <c r="C360" s="71" t="s">
        <v>160</v>
      </c>
      <c r="D360" s="71"/>
      <c r="E360" s="123"/>
      <c r="F360" s="149">
        <v>2990.4</v>
      </c>
      <c r="G360" s="149">
        <v>3397.29</v>
      </c>
      <c r="H360" s="149">
        <v>4098.2700000000004</v>
      </c>
      <c r="I360" s="149">
        <v>5996.07</v>
      </c>
      <c r="J360" s="196">
        <v>7511.63</v>
      </c>
      <c r="K360" s="161">
        <f>K371</f>
        <v>9318.6015066033433</v>
      </c>
      <c r="L360" s="161">
        <f>L371</f>
        <v>9969.8584719911723</v>
      </c>
      <c r="M360" s="161">
        <f>M371</f>
        <v>10718.783302560994</v>
      </c>
      <c r="N360" s="161">
        <f>N371</f>
        <v>11545.986056985566</v>
      </c>
      <c r="O360" s="161">
        <f>O371</f>
        <v>12443.997175093431</v>
      </c>
    </row>
    <row r="361" spans="1:15" hidden="1" outlineLevel="1" x14ac:dyDescent="0.25">
      <c r="A361" s="79"/>
      <c r="B361" s="79"/>
      <c r="C361" s="71" t="s">
        <v>161</v>
      </c>
      <c r="D361" s="71"/>
      <c r="E361" s="123"/>
      <c r="F361" s="149">
        <v>-333.07</v>
      </c>
      <c r="G361" s="149">
        <v>-592.48</v>
      </c>
      <c r="H361" s="149">
        <v>-564.9</v>
      </c>
      <c r="I361" s="149">
        <v>-792.62</v>
      </c>
      <c r="J361" s="196">
        <v>-143.97</v>
      </c>
      <c r="K361" s="161">
        <f>$J$376</f>
        <v>-485.4079999999999</v>
      </c>
      <c r="L361" s="161">
        <f>$J$376</f>
        <v>-485.4079999999999</v>
      </c>
      <c r="M361" s="161">
        <f>$J$376</f>
        <v>-485.4079999999999</v>
      </c>
      <c r="N361" s="161">
        <f>$J$376</f>
        <v>-485.4079999999999</v>
      </c>
      <c r="O361" s="161">
        <f>$J$376</f>
        <v>-485.4079999999999</v>
      </c>
    </row>
    <row r="362" spans="1:15" hidden="1" outlineLevel="1" x14ac:dyDescent="0.25">
      <c r="A362" s="79"/>
      <c r="B362" s="79"/>
      <c r="C362" s="71" t="s">
        <v>158</v>
      </c>
      <c r="D362" s="71"/>
      <c r="E362" s="123"/>
      <c r="F362" s="149">
        <v>80.84</v>
      </c>
      <c r="G362" s="149">
        <v>-486.44</v>
      </c>
      <c r="H362" s="149">
        <v>57.3</v>
      </c>
      <c r="I362" s="149">
        <v>149.18</v>
      </c>
      <c r="J362" s="197">
        <v>1153.76</v>
      </c>
      <c r="K362" s="161">
        <v>0</v>
      </c>
      <c r="L362" s="161">
        <v>0</v>
      </c>
      <c r="M362" s="161">
        <v>0</v>
      </c>
      <c r="N362" s="161">
        <v>0</v>
      </c>
      <c r="O362" s="161">
        <v>0</v>
      </c>
    </row>
    <row r="363" spans="1:15" hidden="1" outlineLevel="1" x14ac:dyDescent="0.25">
      <c r="A363" s="139"/>
      <c r="B363" s="139"/>
      <c r="C363" s="139" t="s">
        <v>162</v>
      </c>
      <c r="D363" s="139"/>
      <c r="E363" s="139"/>
      <c r="F363" s="140">
        <f t="shared" ref="F363:O363" si="35">SUM(F359:F362)</f>
        <v>16338.48</v>
      </c>
      <c r="G363" s="140">
        <f t="shared" si="35"/>
        <v>18656.850000000002</v>
      </c>
      <c r="H363" s="140">
        <f t="shared" si="35"/>
        <v>22718.14</v>
      </c>
      <c r="I363" s="140">
        <f t="shared" si="35"/>
        <v>29855.97</v>
      </c>
      <c r="J363" s="140">
        <f t="shared" si="35"/>
        <v>38377.39</v>
      </c>
      <c r="K363" s="157">
        <f t="shared" si="35"/>
        <v>47210.58350660334</v>
      </c>
      <c r="L363" s="157">
        <f t="shared" si="35"/>
        <v>56695.033978594511</v>
      </c>
      <c r="M363" s="157">
        <f t="shared" si="35"/>
        <v>66928.409281155502</v>
      </c>
      <c r="N363" s="157">
        <f t="shared" si="35"/>
        <v>77988.987338141073</v>
      </c>
      <c r="O363" s="157">
        <f t="shared" si="35"/>
        <v>89947.576513234511</v>
      </c>
    </row>
    <row r="364" spans="1:15" hidden="1" outlineLevel="1" x14ac:dyDescent="0.25">
      <c r="A364" s="79"/>
      <c r="B364" s="79"/>
      <c r="C364" s="79"/>
      <c r="D364" s="79"/>
      <c r="E364" s="79"/>
      <c r="F364" s="119"/>
      <c r="G364" s="119"/>
      <c r="H364" s="119"/>
      <c r="I364" s="119"/>
      <c r="J364" s="119"/>
      <c r="K364" s="161"/>
      <c r="L364" s="161"/>
      <c r="M364" s="161"/>
      <c r="N364" s="161"/>
      <c r="O364" s="161"/>
    </row>
    <row r="365" spans="1:15" hidden="1" outlineLevel="1" x14ac:dyDescent="0.25">
      <c r="A365" s="79"/>
      <c r="B365" s="79"/>
      <c r="C365" s="187" t="s">
        <v>163</v>
      </c>
      <c r="D365" s="79"/>
      <c r="E365" s="79"/>
      <c r="F365" s="119"/>
      <c r="G365" s="119"/>
      <c r="H365" s="119"/>
      <c r="I365" s="119"/>
      <c r="J365" s="119"/>
      <c r="K365" s="161">
        <f>K357-K363</f>
        <v>114429.62790449167</v>
      </c>
      <c r="L365" s="161">
        <f>L357-L363</f>
        <v>116826.34903659938</v>
      </c>
      <c r="M365" s="161">
        <f>M357-M363</f>
        <v>119888.77340033391</v>
      </c>
      <c r="N365" s="161">
        <f>N357-N363</f>
        <v>123340.87408882164</v>
      </c>
      <c r="O365" s="161">
        <f>O357-O363</f>
        <v>127058.48387430479</v>
      </c>
    </row>
    <row r="366" spans="1:15" hidden="1" outlineLevel="1" x14ac:dyDescent="0.25">
      <c r="A366" s="79"/>
      <c r="B366" s="79"/>
      <c r="C366" s="79"/>
      <c r="D366" s="79"/>
      <c r="E366" s="79"/>
      <c r="F366" s="119"/>
      <c r="G366" s="119"/>
      <c r="H366" s="119"/>
      <c r="I366" s="119"/>
      <c r="J366" s="119"/>
      <c r="K366" s="161"/>
      <c r="L366" s="161"/>
      <c r="M366" s="161"/>
      <c r="N366" s="161"/>
      <c r="O366" s="161"/>
    </row>
    <row r="367" spans="1:15" hidden="1" outlineLevel="1" x14ac:dyDescent="0.25">
      <c r="A367" s="79"/>
      <c r="B367" s="79"/>
      <c r="C367" s="127" t="s">
        <v>197</v>
      </c>
      <c r="D367" s="79"/>
      <c r="E367" s="79"/>
      <c r="F367" s="119">
        <f t="shared" ref="F367:O367" si="36">(F357+E357)/2</f>
        <v>53152.32</v>
      </c>
      <c r="G367" s="119">
        <f t="shared" si="36"/>
        <v>56654.475000000006</v>
      </c>
      <c r="H367" s="119">
        <f t="shared" si="36"/>
        <v>66552.975000000006</v>
      </c>
      <c r="I367" s="119">
        <f t="shared" si="36"/>
        <v>94600.09500000003</v>
      </c>
      <c r="J367" s="119">
        <f t="shared" si="36"/>
        <v>133478.88000000003</v>
      </c>
      <c r="K367" s="161">
        <f t="shared" si="36"/>
        <v>156633.98570554753</v>
      </c>
      <c r="L367" s="161">
        <f t="shared" si="36"/>
        <v>167580.79721314445</v>
      </c>
      <c r="M367" s="161">
        <f t="shared" si="36"/>
        <v>180169.28284834165</v>
      </c>
      <c r="N367" s="161">
        <f t="shared" si="36"/>
        <v>194073.52205422608</v>
      </c>
      <c r="O367" s="161">
        <f t="shared" si="36"/>
        <v>209167.96090725099</v>
      </c>
    </row>
    <row r="368" spans="1:15" hidden="1" outlineLevel="1" x14ac:dyDescent="0.25">
      <c r="A368" s="79"/>
      <c r="B368" s="79"/>
      <c r="C368" s="127" t="s">
        <v>198</v>
      </c>
      <c r="D368" s="79"/>
      <c r="E368" s="79"/>
      <c r="F368" s="119">
        <f>F360</f>
        <v>2990.4</v>
      </c>
      <c r="G368" s="119">
        <f>G360</f>
        <v>3397.29</v>
      </c>
      <c r="H368" s="119">
        <f>H360</f>
        <v>4098.2700000000004</v>
      </c>
      <c r="I368" s="119">
        <f>I360</f>
        <v>5996.07</v>
      </c>
      <c r="J368" s="119">
        <f>J360</f>
        <v>7511.63</v>
      </c>
      <c r="K368" s="161"/>
      <c r="L368" s="161"/>
      <c r="M368" s="161"/>
      <c r="N368" s="161"/>
      <c r="O368" s="161"/>
    </row>
    <row r="369" spans="1:15" hidden="1" outlineLevel="1" x14ac:dyDescent="0.25">
      <c r="A369" s="139"/>
      <c r="B369" s="139"/>
      <c r="C369" s="139" t="s">
        <v>199</v>
      </c>
      <c r="D369" s="139"/>
      <c r="E369" s="139"/>
      <c r="F369" s="198">
        <f>F368/F367</f>
        <v>5.6260949663156756E-2</v>
      </c>
      <c r="G369" s="198">
        <f>G368/G367</f>
        <v>5.9965077780704874E-2</v>
      </c>
      <c r="H369" s="198">
        <f>H368/H367</f>
        <v>6.157906539865423E-2</v>
      </c>
      <c r="I369" s="198">
        <f>I368/I367</f>
        <v>6.338334015415098E-2</v>
      </c>
      <c r="J369" s="198">
        <f>J368/J367</f>
        <v>5.6275794342895279E-2</v>
      </c>
      <c r="K369" s="157"/>
      <c r="L369" s="157"/>
      <c r="M369" s="157"/>
      <c r="N369" s="157"/>
      <c r="O369" s="157"/>
    </row>
    <row r="370" spans="1:15" hidden="1" outlineLevel="1" x14ac:dyDescent="0.25">
      <c r="A370" s="71"/>
      <c r="B370" s="71"/>
      <c r="C370" s="127" t="s">
        <v>200</v>
      </c>
      <c r="D370" s="71"/>
      <c r="E370" s="71"/>
      <c r="F370" s="123"/>
      <c r="G370" s="123"/>
      <c r="H370" s="123"/>
      <c r="I370" s="123"/>
      <c r="J370" s="190">
        <f>AVERAGE(F369:J369)</f>
        <v>5.9492845467912427E-2</v>
      </c>
      <c r="K370" s="148"/>
      <c r="L370" s="148"/>
      <c r="M370" s="148"/>
      <c r="N370" s="148"/>
      <c r="O370" s="148"/>
    </row>
    <row r="371" spans="1:15" hidden="1" outlineLevel="1" x14ac:dyDescent="0.25">
      <c r="A371" s="71"/>
      <c r="B371" s="71"/>
      <c r="C371" s="127" t="s">
        <v>201</v>
      </c>
      <c r="D371" s="71"/>
      <c r="E371" s="71"/>
      <c r="F371" s="123"/>
      <c r="G371" s="123"/>
      <c r="H371" s="123"/>
      <c r="I371" s="123"/>
      <c r="J371" s="123"/>
      <c r="K371" s="148">
        <f>K367*$J$370</f>
        <v>9318.6015066033433</v>
      </c>
      <c r="L371" s="148">
        <f>L367*$J$370</f>
        <v>9969.8584719911723</v>
      </c>
      <c r="M371" s="148">
        <f>M367*$J$370</f>
        <v>10718.783302560994</v>
      </c>
      <c r="N371" s="148">
        <f>N367*$J$370</f>
        <v>11545.986056985566</v>
      </c>
      <c r="O371" s="148">
        <f>O367*$J$370</f>
        <v>12443.997175093431</v>
      </c>
    </row>
    <row r="372" spans="1:15" hidden="1" outlineLevel="1" x14ac:dyDescent="0.25">
      <c r="A372" s="71"/>
      <c r="B372" s="71"/>
      <c r="C372" s="71"/>
      <c r="D372" s="71"/>
      <c r="E372" s="71"/>
      <c r="F372" s="123"/>
      <c r="G372" s="123"/>
      <c r="H372" s="123"/>
      <c r="I372" s="123"/>
      <c r="J372" s="123"/>
      <c r="K372" s="148"/>
      <c r="L372" s="148"/>
      <c r="M372" s="148"/>
      <c r="N372" s="148"/>
      <c r="O372" s="148"/>
    </row>
    <row r="373" spans="1:15" hidden="1" outlineLevel="1" x14ac:dyDescent="0.25">
      <c r="A373" s="71"/>
      <c r="B373" s="71"/>
      <c r="C373" s="71" t="s">
        <v>189</v>
      </c>
      <c r="D373" s="71"/>
      <c r="E373" s="71"/>
      <c r="F373" s="123">
        <f>F355</f>
        <v>-632.06999999999994</v>
      </c>
      <c r="G373" s="123">
        <f>G355</f>
        <v>-1577.68</v>
      </c>
      <c r="H373" s="123">
        <f>H355</f>
        <v>-1638.04</v>
      </c>
      <c r="I373" s="123">
        <f>I355</f>
        <v>-1599.26</v>
      </c>
      <c r="J373" s="123">
        <f>J355</f>
        <v>-254.4</v>
      </c>
      <c r="K373" s="148"/>
      <c r="L373" s="148"/>
      <c r="M373" s="148"/>
      <c r="N373" s="148"/>
      <c r="O373" s="148"/>
    </row>
    <row r="374" spans="1:15" hidden="1" outlineLevel="1" x14ac:dyDescent="0.25">
      <c r="A374" s="71"/>
      <c r="B374" s="71"/>
      <c r="C374" s="71" t="s">
        <v>190</v>
      </c>
      <c r="D374" s="71"/>
      <c r="E374" s="71"/>
      <c r="F374" s="123"/>
      <c r="G374" s="123"/>
      <c r="H374" s="123"/>
      <c r="I374" s="123"/>
      <c r="J374" s="123">
        <f>AVERAGE(F373:J373)</f>
        <v>-1140.29</v>
      </c>
      <c r="K374" s="148"/>
      <c r="L374" s="148"/>
      <c r="M374" s="148"/>
      <c r="N374" s="148"/>
      <c r="O374" s="148"/>
    </row>
    <row r="375" spans="1:15" hidden="1" outlineLevel="1" x14ac:dyDescent="0.25">
      <c r="A375" s="71"/>
      <c r="B375" s="71"/>
      <c r="C375" s="71" t="s">
        <v>161</v>
      </c>
      <c r="D375" s="71"/>
      <c r="E375" s="71"/>
      <c r="F375" s="123">
        <f>F361</f>
        <v>-333.07</v>
      </c>
      <c r="G375" s="123">
        <f>G361</f>
        <v>-592.48</v>
      </c>
      <c r="H375" s="123">
        <f>H361</f>
        <v>-564.9</v>
      </c>
      <c r="I375" s="123">
        <f>I361</f>
        <v>-792.62</v>
      </c>
      <c r="J375" s="123">
        <f>J361</f>
        <v>-143.97</v>
      </c>
      <c r="K375" s="148"/>
      <c r="L375" s="148"/>
      <c r="M375" s="148"/>
      <c r="N375" s="148"/>
      <c r="O375" s="148"/>
    </row>
    <row r="376" spans="1:15" hidden="1" outlineLevel="1" x14ac:dyDescent="0.25">
      <c r="A376" s="71"/>
      <c r="B376" s="71"/>
      <c r="C376" s="71" t="s">
        <v>190</v>
      </c>
      <c r="D376" s="71"/>
      <c r="E376" s="71"/>
      <c r="F376" s="123"/>
      <c r="G376" s="123"/>
      <c r="H376" s="123"/>
      <c r="I376" s="123"/>
      <c r="J376" s="123">
        <f>AVERAGE(F375:J375)</f>
        <v>-485.4079999999999</v>
      </c>
      <c r="K376" s="148"/>
      <c r="L376" s="148"/>
      <c r="M376" s="148"/>
      <c r="N376" s="148"/>
      <c r="O376" s="148"/>
    </row>
    <row r="377" spans="1:15" hidden="1" outlineLevel="1" x14ac:dyDescent="0.25">
      <c r="A377" s="71"/>
      <c r="B377" s="71"/>
      <c r="C377" s="71"/>
      <c r="D377" s="71"/>
      <c r="E377" s="71"/>
      <c r="F377" s="123"/>
      <c r="G377" s="123"/>
      <c r="H377" s="123"/>
      <c r="I377" s="123"/>
      <c r="J377" s="123"/>
      <c r="K377" s="148"/>
      <c r="L377" s="148"/>
      <c r="M377" s="148"/>
      <c r="N377" s="148"/>
      <c r="O377" s="148"/>
    </row>
    <row r="378" spans="1:15" hidden="1" outlineLevel="1" x14ac:dyDescent="0.25">
      <c r="A378" s="71"/>
      <c r="B378" s="71"/>
      <c r="C378" s="71"/>
      <c r="D378" s="71"/>
      <c r="E378" s="71"/>
      <c r="F378" s="123"/>
      <c r="G378" s="123"/>
      <c r="H378" s="123"/>
      <c r="I378" s="123"/>
      <c r="J378" s="123"/>
      <c r="K378" s="148"/>
      <c r="L378" s="148"/>
      <c r="M378" s="148"/>
      <c r="N378" s="148"/>
      <c r="O378" s="148"/>
    </row>
    <row r="379" spans="1:15" hidden="1" outlineLevel="1" x14ac:dyDescent="0.25">
      <c r="A379" s="71"/>
      <c r="B379" s="72" t="s">
        <v>168</v>
      </c>
      <c r="C379" s="71"/>
      <c r="D379" s="71"/>
      <c r="E379" s="71"/>
      <c r="F379" s="123"/>
      <c r="G379" s="123"/>
      <c r="H379" s="123"/>
      <c r="I379" s="123"/>
      <c r="J379" s="123"/>
      <c r="K379" s="148"/>
      <c r="L379" s="148"/>
      <c r="M379" s="148"/>
      <c r="N379" s="148"/>
      <c r="O379" s="148"/>
    </row>
    <row r="380" spans="1:15" hidden="1" outlineLevel="1" x14ac:dyDescent="0.25">
      <c r="A380" s="71"/>
      <c r="B380" s="71"/>
      <c r="C380" s="71" t="s">
        <v>180</v>
      </c>
      <c r="D380" s="71"/>
      <c r="E380" s="71"/>
      <c r="F380" s="199">
        <v>18687.43</v>
      </c>
      <c r="G380" s="199">
        <v>19612.919999999998</v>
      </c>
      <c r="H380" s="199">
        <v>20492.099999999999</v>
      </c>
      <c r="I380" s="199">
        <v>23717.9</v>
      </c>
      <c r="J380" s="199">
        <v>30143.23</v>
      </c>
      <c r="K380" s="148">
        <f>J384</f>
        <v>36941.699999999997</v>
      </c>
      <c r="L380" s="148">
        <f>K384</f>
        <v>40187.471958839997</v>
      </c>
      <c r="M380" s="148">
        <f>L384</f>
        <v>42447.811922633926</v>
      </c>
      <c r="N380" s="148">
        <f>M384</f>
        <v>44907.329253619122</v>
      </c>
      <c r="O380" s="148">
        <f>N384</f>
        <v>47578.174076627096</v>
      </c>
    </row>
    <row r="381" spans="1:15" hidden="1" outlineLevel="1" x14ac:dyDescent="0.25">
      <c r="A381" s="71"/>
      <c r="B381" s="71"/>
      <c r="C381" s="71" t="s">
        <v>156</v>
      </c>
      <c r="D381" s="71"/>
      <c r="E381" s="71"/>
      <c r="F381" s="199">
        <v>1256.8399999999999</v>
      </c>
      <c r="G381" s="199">
        <v>2264</v>
      </c>
      <c r="H381" s="199">
        <v>4731.99</v>
      </c>
      <c r="I381" s="199">
        <v>7090.55</v>
      </c>
      <c r="J381" s="200">
        <v>5616.25</v>
      </c>
      <c r="K381" s="148">
        <f>K332</f>
        <v>4073.0699588399998</v>
      </c>
      <c r="L381" s="148">
        <f>L332</f>
        <v>3087.6379637939294</v>
      </c>
      <c r="M381" s="148">
        <f>M332</f>
        <v>3286.8153309851969</v>
      </c>
      <c r="N381" s="148">
        <f>N332</f>
        <v>3498.1428230079778</v>
      </c>
      <c r="O381" s="148">
        <f>O332</f>
        <v>3728.346616358594</v>
      </c>
    </row>
    <row r="382" spans="1:15" hidden="1" outlineLevel="1" x14ac:dyDescent="0.25">
      <c r="A382" s="71"/>
      <c r="B382" s="71"/>
      <c r="C382" s="71" t="s">
        <v>157</v>
      </c>
      <c r="D382" s="71"/>
      <c r="E382" s="71"/>
      <c r="F382" s="199">
        <v>-514.29</v>
      </c>
      <c r="G382" s="199">
        <v>-780.44</v>
      </c>
      <c r="H382" s="199">
        <v>-1380.49</v>
      </c>
      <c r="I382" s="199">
        <v>-902.17</v>
      </c>
      <c r="J382" s="200">
        <v>-559.1</v>
      </c>
      <c r="K382" s="148">
        <f>$J$401</f>
        <v>-827.29800000000012</v>
      </c>
      <c r="L382" s="148">
        <f>$J$401</f>
        <v>-827.29800000000012</v>
      </c>
      <c r="M382" s="148">
        <f>$J$401</f>
        <v>-827.29800000000012</v>
      </c>
      <c r="N382" s="148">
        <f>$J$401</f>
        <v>-827.29800000000012</v>
      </c>
      <c r="O382" s="148">
        <f>$J$401</f>
        <v>-827.29800000000012</v>
      </c>
    </row>
    <row r="383" spans="1:15" hidden="1" outlineLevel="1" x14ac:dyDescent="0.25">
      <c r="A383" s="71"/>
      <c r="B383" s="71"/>
      <c r="C383" s="71" t="s">
        <v>158</v>
      </c>
      <c r="D383" s="71"/>
      <c r="E383" s="71"/>
      <c r="F383" s="199">
        <v>182.94</v>
      </c>
      <c r="G383" s="199">
        <v>-604.38</v>
      </c>
      <c r="H383" s="199">
        <v>-125.7</v>
      </c>
      <c r="I383" s="199">
        <v>236.95</v>
      </c>
      <c r="J383" s="201">
        <v>1741.32</v>
      </c>
      <c r="K383" s="148"/>
      <c r="L383" s="148"/>
      <c r="M383" s="148"/>
      <c r="N383" s="148"/>
      <c r="O383" s="148"/>
    </row>
    <row r="384" spans="1:15" hidden="1" outlineLevel="1" x14ac:dyDescent="0.25">
      <c r="A384" s="139"/>
      <c r="B384" s="139"/>
      <c r="C384" s="139" t="s">
        <v>188</v>
      </c>
      <c r="D384" s="139"/>
      <c r="E384" s="193">
        <v>18838.75</v>
      </c>
      <c r="F384" s="140">
        <f t="shared" ref="F384:O384" si="37">SUM(F380:F383)</f>
        <v>19612.919999999998</v>
      </c>
      <c r="G384" s="140">
        <f t="shared" si="37"/>
        <v>20492.099999999999</v>
      </c>
      <c r="H384" s="140">
        <f t="shared" si="37"/>
        <v>23717.899999999994</v>
      </c>
      <c r="I384" s="140">
        <f t="shared" si="37"/>
        <v>30143.230000000003</v>
      </c>
      <c r="J384" s="140">
        <f t="shared" si="37"/>
        <v>36941.699999999997</v>
      </c>
      <c r="K384" s="157">
        <f t="shared" si="37"/>
        <v>40187.471958839997</v>
      </c>
      <c r="L384" s="157">
        <f t="shared" si="37"/>
        <v>42447.811922633926</v>
      </c>
      <c r="M384" s="157">
        <f t="shared" si="37"/>
        <v>44907.329253619122</v>
      </c>
      <c r="N384" s="157">
        <f t="shared" si="37"/>
        <v>47578.174076627096</v>
      </c>
      <c r="O384" s="157">
        <f t="shared" si="37"/>
        <v>50479.222692985684</v>
      </c>
    </row>
    <row r="385" spans="1:15" hidden="1" outlineLevel="1" x14ac:dyDescent="0.25">
      <c r="A385" s="71"/>
      <c r="B385" s="71"/>
      <c r="C385" s="71"/>
      <c r="D385" s="71"/>
      <c r="E385" s="71"/>
      <c r="F385" s="123"/>
      <c r="G385" s="123"/>
      <c r="H385" s="123"/>
      <c r="I385" s="123"/>
      <c r="J385" s="123"/>
      <c r="K385" s="148"/>
      <c r="L385" s="148"/>
      <c r="M385" s="148"/>
      <c r="N385" s="148"/>
      <c r="O385" s="148"/>
    </row>
    <row r="386" spans="1:15" hidden="1" outlineLevel="1" x14ac:dyDescent="0.25">
      <c r="A386" s="71"/>
      <c r="B386" s="71"/>
      <c r="C386" s="71" t="s">
        <v>159</v>
      </c>
      <c r="D386" s="71"/>
      <c r="E386" s="71"/>
      <c r="F386" s="149">
        <v>11261.02</v>
      </c>
      <c r="G386" s="149">
        <v>12999.05</v>
      </c>
      <c r="H386" s="149">
        <v>13982.21</v>
      </c>
      <c r="I386" s="149">
        <v>15951.73</v>
      </c>
      <c r="J386" s="149">
        <v>17881.78</v>
      </c>
      <c r="K386" s="148">
        <f>J390</f>
        <v>21252.899999999998</v>
      </c>
      <c r="L386" s="148">
        <f>K390</f>
        <v>24442.887926313495</v>
      </c>
      <c r="M386" s="148">
        <f>L390</f>
        <v>27903.007184857252</v>
      </c>
      <c r="N386" s="148">
        <f>M390</f>
        <v>31594.683912063123</v>
      </c>
      <c r="O386" s="148">
        <f>N390</f>
        <v>35538.057586762021</v>
      </c>
    </row>
    <row r="387" spans="1:15" hidden="1" outlineLevel="1" x14ac:dyDescent="0.25">
      <c r="A387" s="71"/>
      <c r="B387" s="71"/>
      <c r="C387" s="71" t="s">
        <v>160</v>
      </c>
      <c r="D387" s="71"/>
      <c r="E387" s="71"/>
      <c r="F387" s="149">
        <v>2047.14</v>
      </c>
      <c r="G387" s="149">
        <v>1959.46</v>
      </c>
      <c r="H387" s="149">
        <v>2310.77</v>
      </c>
      <c r="I387" s="149">
        <v>2390.88</v>
      </c>
      <c r="J387" s="196">
        <v>3122.54</v>
      </c>
      <c r="K387" s="148">
        <f>K398</f>
        <v>3783.9779263134974</v>
      </c>
      <c r="L387" s="148">
        <f>L398</f>
        <v>4054.1092585437586</v>
      </c>
      <c r="M387" s="148">
        <f>M398</f>
        <v>4285.6667272058739</v>
      </c>
      <c r="N387" s="148">
        <f>N398</f>
        <v>4537.363674698895</v>
      </c>
      <c r="O387" s="148">
        <f>O398</f>
        <v>4810.7222658372193</v>
      </c>
    </row>
    <row r="388" spans="1:15" hidden="1" outlineLevel="1" x14ac:dyDescent="0.25">
      <c r="A388" s="71"/>
      <c r="B388" s="71"/>
      <c r="C388" s="71" t="s">
        <v>161</v>
      </c>
      <c r="D388" s="71"/>
      <c r="E388" s="71"/>
      <c r="F388" s="149">
        <v>-370.06</v>
      </c>
      <c r="G388" s="149">
        <v>-614.48</v>
      </c>
      <c r="H388" s="149">
        <v>-968.01</v>
      </c>
      <c r="I388" s="149">
        <v>-561.07000000000005</v>
      </c>
      <c r="J388" s="196">
        <v>-456.33</v>
      </c>
      <c r="K388" s="148">
        <f>$J$403</f>
        <v>-593.99</v>
      </c>
      <c r="L388" s="148">
        <f>$J$403</f>
        <v>-593.99</v>
      </c>
      <c r="M388" s="148">
        <f>$J$403</f>
        <v>-593.99</v>
      </c>
      <c r="N388" s="148">
        <f>$J$403</f>
        <v>-593.99</v>
      </c>
      <c r="O388" s="148">
        <f>$J$403</f>
        <v>-593.99</v>
      </c>
    </row>
    <row r="389" spans="1:15" hidden="1" outlineLevel="1" x14ac:dyDescent="0.25">
      <c r="A389" s="71"/>
      <c r="B389" s="71"/>
      <c r="C389" s="71" t="s">
        <v>158</v>
      </c>
      <c r="D389" s="71"/>
      <c r="E389" s="71"/>
      <c r="F389" s="149">
        <v>60.95</v>
      </c>
      <c r="G389" s="149">
        <v>-361.82</v>
      </c>
      <c r="H389" s="149">
        <v>-53.91</v>
      </c>
      <c r="I389" s="149">
        <v>100.24</v>
      </c>
      <c r="J389" s="196">
        <v>704.91</v>
      </c>
      <c r="K389" s="148">
        <v>0</v>
      </c>
      <c r="L389" s="148">
        <v>0</v>
      </c>
      <c r="M389" s="148">
        <v>0</v>
      </c>
      <c r="N389" s="148">
        <v>0</v>
      </c>
      <c r="O389" s="148">
        <v>0</v>
      </c>
    </row>
    <row r="390" spans="1:15" hidden="1" outlineLevel="1" x14ac:dyDescent="0.25">
      <c r="A390" s="139"/>
      <c r="B390" s="139"/>
      <c r="C390" s="139" t="s">
        <v>162</v>
      </c>
      <c r="D390" s="139"/>
      <c r="E390" s="139"/>
      <c r="F390" s="140">
        <f t="shared" ref="F390:O390" si="38">SUM(F386:F389)</f>
        <v>12999.050000000001</v>
      </c>
      <c r="G390" s="140">
        <f t="shared" si="38"/>
        <v>13982.21</v>
      </c>
      <c r="H390" s="140">
        <f t="shared" si="38"/>
        <v>15271.06</v>
      </c>
      <c r="I390" s="140">
        <f t="shared" si="38"/>
        <v>17881.780000000002</v>
      </c>
      <c r="J390" s="140">
        <f t="shared" si="38"/>
        <v>21252.899999999998</v>
      </c>
      <c r="K390" s="157">
        <f t="shared" si="38"/>
        <v>24442.887926313495</v>
      </c>
      <c r="L390" s="157">
        <f t="shared" si="38"/>
        <v>27903.007184857252</v>
      </c>
      <c r="M390" s="157">
        <f t="shared" si="38"/>
        <v>31594.683912063123</v>
      </c>
      <c r="N390" s="157">
        <f t="shared" si="38"/>
        <v>35538.057586762021</v>
      </c>
      <c r="O390" s="157">
        <f t="shared" si="38"/>
        <v>39754.789852599242</v>
      </c>
    </row>
    <row r="391" spans="1:15" hidden="1" outlineLevel="1" x14ac:dyDescent="0.25">
      <c r="A391" s="71"/>
      <c r="B391" s="71"/>
      <c r="C391" s="71"/>
      <c r="D391" s="71"/>
      <c r="E391" s="71"/>
      <c r="F391" s="123"/>
      <c r="G391" s="123"/>
      <c r="H391" s="123"/>
      <c r="I391" s="123"/>
      <c r="J391" s="123"/>
      <c r="K391" s="148"/>
      <c r="L391" s="148"/>
      <c r="M391" s="148"/>
      <c r="N391" s="148"/>
      <c r="O391" s="148"/>
    </row>
    <row r="392" spans="1:15" hidden="1" outlineLevel="1" x14ac:dyDescent="0.25">
      <c r="A392" s="71"/>
      <c r="B392" s="71"/>
      <c r="C392" s="72" t="s">
        <v>163</v>
      </c>
      <c r="D392" s="71"/>
      <c r="E392" s="71"/>
      <c r="F392" s="123"/>
      <c r="G392" s="123"/>
      <c r="H392" s="123"/>
      <c r="I392" s="123"/>
      <c r="J392" s="123"/>
      <c r="K392" s="148">
        <f>K384-K390</f>
        <v>15744.584032526502</v>
      </c>
      <c r="L392" s="148">
        <f>L384-L390</f>
        <v>14544.804737776674</v>
      </c>
      <c r="M392" s="148">
        <f>M384-M390</f>
        <v>13312.645341555999</v>
      </c>
      <c r="N392" s="148">
        <f>N384-N390</f>
        <v>12040.116489865075</v>
      </c>
      <c r="O392" s="148">
        <f>O384-O390</f>
        <v>10724.432840386442</v>
      </c>
    </row>
    <row r="393" spans="1:15" hidden="1" outlineLevel="1" x14ac:dyDescent="0.25">
      <c r="A393" s="71"/>
      <c r="B393" s="71"/>
      <c r="C393" s="71"/>
      <c r="D393" s="71"/>
      <c r="E393" s="71"/>
      <c r="F393" s="123"/>
      <c r="G393" s="123"/>
      <c r="H393" s="123"/>
      <c r="I393" s="123"/>
      <c r="J393" s="123"/>
      <c r="K393" s="148"/>
      <c r="L393" s="148"/>
      <c r="M393" s="148"/>
      <c r="N393" s="148"/>
      <c r="O393" s="148"/>
    </row>
    <row r="394" spans="1:15" hidden="1" outlineLevel="1" x14ac:dyDescent="0.25">
      <c r="A394" s="71"/>
      <c r="B394" s="71"/>
      <c r="C394" s="71" t="s">
        <v>202</v>
      </c>
      <c r="D394" s="71"/>
      <c r="E394" s="71"/>
      <c r="F394" s="123">
        <f t="shared" ref="F394:O394" si="39">(F384+E384)/2</f>
        <v>19225.834999999999</v>
      </c>
      <c r="G394" s="123">
        <f t="shared" si="39"/>
        <v>20052.509999999998</v>
      </c>
      <c r="H394" s="123">
        <f t="shared" si="39"/>
        <v>22104.999999999996</v>
      </c>
      <c r="I394" s="123">
        <f t="shared" si="39"/>
        <v>26930.564999999999</v>
      </c>
      <c r="J394" s="123">
        <f t="shared" si="39"/>
        <v>33542.464999999997</v>
      </c>
      <c r="K394" s="148">
        <f t="shared" si="39"/>
        <v>38564.585979419993</v>
      </c>
      <c r="L394" s="148">
        <f t="shared" si="39"/>
        <v>41317.641940736961</v>
      </c>
      <c r="M394" s="148">
        <f t="shared" si="39"/>
        <v>43677.570588126524</v>
      </c>
      <c r="N394" s="148">
        <f t="shared" si="39"/>
        <v>46242.751665123113</v>
      </c>
      <c r="O394" s="148">
        <f t="shared" si="39"/>
        <v>49028.69838480639</v>
      </c>
    </row>
    <row r="395" spans="1:15" hidden="1" outlineLevel="1" x14ac:dyDescent="0.25">
      <c r="A395" s="71"/>
      <c r="B395" s="71"/>
      <c r="C395" s="71" t="s">
        <v>198</v>
      </c>
      <c r="D395" s="71"/>
      <c r="E395" s="71"/>
      <c r="F395" s="123">
        <f>F387</f>
        <v>2047.14</v>
      </c>
      <c r="G395" s="123">
        <f>G387</f>
        <v>1959.46</v>
      </c>
      <c r="H395" s="123">
        <f>H387</f>
        <v>2310.77</v>
      </c>
      <c r="I395" s="123">
        <f>I387</f>
        <v>2390.88</v>
      </c>
      <c r="J395" s="123">
        <f>J387</f>
        <v>3122.54</v>
      </c>
      <c r="K395" s="148"/>
      <c r="L395" s="148"/>
      <c r="M395" s="148"/>
      <c r="N395" s="148"/>
      <c r="O395" s="148"/>
    </row>
    <row r="396" spans="1:15" hidden="1" outlineLevel="1" x14ac:dyDescent="0.25">
      <c r="A396" s="139"/>
      <c r="B396" s="139"/>
      <c r="C396" s="139" t="s">
        <v>203</v>
      </c>
      <c r="D396" s="139"/>
      <c r="E396" s="139"/>
      <c r="F396" s="198">
        <f>F395/F394</f>
        <v>0.10647860027925966</v>
      </c>
      <c r="G396" s="198">
        <f>G395/G394</f>
        <v>9.7716445472412192E-2</v>
      </c>
      <c r="H396" s="198">
        <f>H395/H394</f>
        <v>0.10453607781045014</v>
      </c>
      <c r="I396" s="198">
        <f>I395/I394</f>
        <v>8.8779422191847826E-2</v>
      </c>
      <c r="J396" s="198">
        <f>J395/J394</f>
        <v>9.3092144539764748E-2</v>
      </c>
      <c r="K396" s="157"/>
      <c r="L396" s="157"/>
      <c r="M396" s="157"/>
      <c r="N396" s="157"/>
      <c r="O396" s="157"/>
    </row>
    <row r="397" spans="1:15" hidden="1" outlineLevel="1" x14ac:dyDescent="0.25">
      <c r="A397" s="71"/>
      <c r="B397" s="71"/>
      <c r="C397" s="127" t="s">
        <v>190</v>
      </c>
      <c r="D397" s="71"/>
      <c r="E397" s="71"/>
      <c r="F397" s="123"/>
      <c r="G397" s="123"/>
      <c r="H397" s="123"/>
      <c r="I397" s="123"/>
      <c r="J397" s="190">
        <f>AVERAGE(F396:J396)</f>
        <v>9.8120538058746917E-2</v>
      </c>
      <c r="K397" s="148"/>
      <c r="L397" s="148"/>
      <c r="M397" s="148"/>
      <c r="N397" s="148"/>
      <c r="O397" s="148"/>
    </row>
    <row r="398" spans="1:15" hidden="1" outlineLevel="1" x14ac:dyDescent="0.25">
      <c r="A398" s="71"/>
      <c r="B398" s="71"/>
      <c r="C398" s="127" t="s">
        <v>205</v>
      </c>
      <c r="D398" s="71"/>
      <c r="E398" s="71"/>
      <c r="F398" s="123"/>
      <c r="G398" s="123"/>
      <c r="H398" s="123"/>
      <c r="I398" s="123"/>
      <c r="J398" s="123"/>
      <c r="K398" s="148">
        <f>K394*$J$397</f>
        <v>3783.9779263134974</v>
      </c>
      <c r="L398" s="148">
        <f>L394*$J$397</f>
        <v>4054.1092585437586</v>
      </c>
      <c r="M398" s="148">
        <f>M394*$J$397</f>
        <v>4285.6667272058739</v>
      </c>
      <c r="N398" s="148">
        <f>N394*$J$397</f>
        <v>4537.363674698895</v>
      </c>
      <c r="O398" s="148">
        <f>O394*$J$397</f>
        <v>4810.7222658372193</v>
      </c>
    </row>
    <row r="399" spans="1:15" hidden="1" outlineLevel="1" x14ac:dyDescent="0.25">
      <c r="A399" s="71"/>
      <c r="B399" s="71"/>
      <c r="C399" s="71"/>
      <c r="D399" s="71"/>
      <c r="E399" s="71"/>
      <c r="F399" s="123"/>
      <c r="G399" s="123"/>
      <c r="H399" s="123"/>
      <c r="I399" s="123"/>
      <c r="J399" s="123"/>
      <c r="K399" s="148"/>
      <c r="L399" s="148"/>
      <c r="M399" s="148"/>
      <c r="N399" s="148"/>
      <c r="O399" s="148"/>
    </row>
    <row r="400" spans="1:15" hidden="1" outlineLevel="1" x14ac:dyDescent="0.25">
      <c r="A400" s="71"/>
      <c r="B400" s="71"/>
      <c r="C400" s="71" t="s">
        <v>204</v>
      </c>
      <c r="D400" s="71"/>
      <c r="E400" s="71"/>
      <c r="F400" s="183">
        <f>F382</f>
        <v>-514.29</v>
      </c>
      <c r="G400" s="183">
        <f>G382</f>
        <v>-780.44</v>
      </c>
      <c r="H400" s="183">
        <f>H382</f>
        <v>-1380.49</v>
      </c>
      <c r="I400" s="183">
        <f>I382</f>
        <v>-902.17</v>
      </c>
      <c r="J400" s="183">
        <f>J382</f>
        <v>-559.1</v>
      </c>
      <c r="K400" s="147"/>
      <c r="L400" s="147"/>
      <c r="M400" s="147"/>
      <c r="N400" s="147"/>
      <c r="O400" s="147"/>
    </row>
    <row r="401" spans="1:15" hidden="1" outlineLevel="1" x14ac:dyDescent="0.25">
      <c r="A401" s="71"/>
      <c r="B401" s="71"/>
      <c r="C401" s="71" t="s">
        <v>190</v>
      </c>
      <c r="D401" s="71"/>
      <c r="E401" s="71"/>
      <c r="F401" s="71"/>
      <c r="G401" s="71"/>
      <c r="H401" s="71"/>
      <c r="I401" s="71"/>
      <c r="J401" s="183">
        <f>AVERAGE(F400:J400)</f>
        <v>-827.29800000000012</v>
      </c>
      <c r="K401" s="147"/>
      <c r="L401" s="147"/>
      <c r="M401" s="147"/>
      <c r="N401" s="147"/>
      <c r="O401" s="147"/>
    </row>
    <row r="402" spans="1:15" hidden="1" outlineLevel="1" x14ac:dyDescent="0.25">
      <c r="A402" s="71"/>
      <c r="B402" s="71"/>
      <c r="C402" s="71" t="s">
        <v>161</v>
      </c>
      <c r="D402" s="71"/>
      <c r="E402" s="71"/>
      <c r="F402" s="183">
        <f>F388</f>
        <v>-370.06</v>
      </c>
      <c r="G402" s="183">
        <f>G388</f>
        <v>-614.48</v>
      </c>
      <c r="H402" s="183">
        <f>H388</f>
        <v>-968.01</v>
      </c>
      <c r="I402" s="183">
        <f>I388</f>
        <v>-561.07000000000005</v>
      </c>
      <c r="J402" s="183">
        <f>J388</f>
        <v>-456.33</v>
      </c>
      <c r="K402" s="147"/>
      <c r="L402" s="147"/>
      <c r="M402" s="147"/>
      <c r="N402" s="147"/>
      <c r="O402" s="147"/>
    </row>
    <row r="403" spans="1:15" hidden="1" outlineLevel="1" x14ac:dyDescent="0.25">
      <c r="A403" s="71"/>
      <c r="B403" s="71"/>
      <c r="C403" s="71" t="s">
        <v>190</v>
      </c>
      <c r="D403" s="71"/>
      <c r="E403" s="71"/>
      <c r="F403" s="71"/>
      <c r="G403" s="71"/>
      <c r="H403" s="71"/>
      <c r="I403" s="71"/>
      <c r="J403" s="183">
        <f>AVERAGE(F402:J402)</f>
        <v>-593.99</v>
      </c>
      <c r="K403" s="147"/>
      <c r="L403" s="147"/>
      <c r="M403" s="147"/>
      <c r="N403" s="147"/>
      <c r="O403" s="147"/>
    </row>
    <row r="404" spans="1:15" hidden="1" outlineLevel="1" x14ac:dyDescent="0.25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147"/>
      <c r="L404" s="147"/>
      <c r="M404" s="147"/>
      <c r="N404" s="147"/>
      <c r="O404" s="147"/>
    </row>
    <row r="405" spans="1:15" hidden="1" outlineLevel="1" x14ac:dyDescent="0.2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147"/>
      <c r="L405" s="147"/>
      <c r="M405" s="147"/>
      <c r="N405" s="147"/>
      <c r="O405" s="147"/>
    </row>
    <row r="406" spans="1:15" hidden="1" outlineLevel="1" x14ac:dyDescent="0.25">
      <c r="A406" s="139"/>
      <c r="B406" s="139"/>
      <c r="C406" s="162" t="s">
        <v>206</v>
      </c>
      <c r="D406" s="139"/>
      <c r="E406" s="139"/>
      <c r="F406" s="139"/>
      <c r="G406" s="139"/>
      <c r="H406" s="139"/>
      <c r="I406" s="139"/>
      <c r="J406" s="139"/>
      <c r="K406" s="182">
        <f>K398+K371</f>
        <v>13102.57943291684</v>
      </c>
      <c r="L406" s="182">
        <f>L398+L371</f>
        <v>14023.967730534931</v>
      </c>
      <c r="M406" s="182">
        <f>M398+M371</f>
        <v>15004.450029766867</v>
      </c>
      <c r="N406" s="182">
        <f>N398+N371</f>
        <v>16083.349731684462</v>
      </c>
      <c r="O406" s="182">
        <f>O398+O371</f>
        <v>17254.71944093065</v>
      </c>
    </row>
    <row r="407" spans="1:15" hidden="1" outlineLevel="1" x14ac:dyDescent="0.25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147"/>
      <c r="L407" s="147"/>
      <c r="M407" s="147"/>
      <c r="N407" s="147"/>
      <c r="O407" s="147"/>
    </row>
    <row r="408" spans="1:15" hidden="1" outlineLevel="1" x14ac:dyDescent="0.25">
      <c r="A408" s="71"/>
      <c r="B408" s="71"/>
      <c r="C408" s="72" t="s">
        <v>325</v>
      </c>
      <c r="D408" s="71"/>
      <c r="E408" s="71"/>
      <c r="F408" s="71"/>
      <c r="G408" s="71"/>
      <c r="H408" s="71"/>
      <c r="I408" s="71"/>
      <c r="J408" s="71"/>
      <c r="K408" s="181">
        <f>K392+K365+K349+K339</f>
        <v>151255.81906708315</v>
      </c>
      <c r="L408" s="181">
        <f>L392+L365+L349+L339</f>
        <v>154696.2407694651</v>
      </c>
      <c r="M408" s="181">
        <f>M392+M365+M349+M339</f>
        <v>158340.06847023312</v>
      </c>
      <c r="N408" s="181">
        <f>N392+N365+N349+N339</f>
        <v>162161.10376831554</v>
      </c>
      <c r="O408" s="181">
        <f>O392+O365+O349+O339</f>
        <v>166179.07530906936</v>
      </c>
    </row>
    <row r="409" spans="1:15" hidden="1" outlineLevel="1" x14ac:dyDescent="0.25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147"/>
      <c r="L409" s="147"/>
      <c r="M409" s="147"/>
      <c r="N409" s="147"/>
      <c r="O409" s="147"/>
    </row>
    <row r="410" spans="1:15" hidden="1" outlineLevel="1" x14ac:dyDescent="0.25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185"/>
      <c r="L410" s="185"/>
      <c r="M410" s="185"/>
      <c r="N410" s="185"/>
      <c r="O410" s="185"/>
    </row>
    <row r="411" spans="1:15" collapsed="1" x14ac:dyDescent="0.25">
      <c r="B411" s="56"/>
      <c r="C411" s="56"/>
      <c r="D411" s="56"/>
      <c r="E411" s="56"/>
      <c r="F411" s="56"/>
      <c r="G411" s="56"/>
      <c r="H411" s="56"/>
      <c r="I411" s="56"/>
      <c r="J411" s="56"/>
      <c r="K411" s="67"/>
      <c r="L411" s="67"/>
      <c r="M411" s="67"/>
      <c r="N411" s="67"/>
      <c r="O411" s="67"/>
    </row>
    <row r="412" spans="1:15" ht="25.5" x14ac:dyDescent="0.35">
      <c r="A412" s="142" t="s">
        <v>207</v>
      </c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5"/>
    </row>
    <row r="413" spans="1:15" hidden="1" outlineLevel="1" x14ac:dyDescent="0.25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</row>
    <row r="414" spans="1:15" hidden="1" outlineLevel="1" x14ac:dyDescent="0.25">
      <c r="A414" s="144" t="s">
        <v>155</v>
      </c>
      <c r="B414" s="86"/>
      <c r="C414" s="86"/>
      <c r="D414" s="86"/>
      <c r="E414" s="145">
        <f t="shared" ref="E414:J414" si="40">F414-1</f>
        <v>2020</v>
      </c>
      <c r="F414" s="145">
        <f t="shared" si="40"/>
        <v>2021</v>
      </c>
      <c r="G414" s="145">
        <f t="shared" si="40"/>
        <v>2022</v>
      </c>
      <c r="H414" s="145">
        <f t="shared" si="40"/>
        <v>2023</v>
      </c>
      <c r="I414" s="145">
        <f t="shared" si="40"/>
        <v>2024</v>
      </c>
      <c r="J414" s="145">
        <f t="shared" si="40"/>
        <v>2025</v>
      </c>
      <c r="K414" s="146">
        <f>K$82</f>
        <v>2026</v>
      </c>
      <c r="L414" s="146">
        <f>L$82</f>
        <v>2027</v>
      </c>
      <c r="M414" s="146">
        <f>M$82</f>
        <v>2028</v>
      </c>
      <c r="N414" s="146">
        <f>N$82</f>
        <v>2029</v>
      </c>
      <c r="O414" s="146">
        <f>O$82</f>
        <v>2030</v>
      </c>
    </row>
    <row r="415" spans="1:15" hidden="1" outlineLevel="1" x14ac:dyDescent="0.25">
      <c r="A415" s="202"/>
      <c r="B415" s="79"/>
      <c r="C415" s="79"/>
      <c r="D415" s="79"/>
      <c r="E415" s="79"/>
      <c r="F415" s="119"/>
      <c r="G415" s="119"/>
      <c r="H415" s="119"/>
      <c r="I415" s="119"/>
      <c r="J415" s="119"/>
      <c r="K415" s="161"/>
      <c r="L415" s="161"/>
      <c r="M415" s="161"/>
      <c r="N415" s="161"/>
      <c r="O415" s="161"/>
    </row>
    <row r="416" spans="1:15" hidden="1" outlineLevel="1" x14ac:dyDescent="0.25">
      <c r="A416" s="202"/>
      <c r="B416" s="202" t="s">
        <v>320</v>
      </c>
      <c r="C416" s="79"/>
      <c r="D416" s="79"/>
      <c r="E416" s="79"/>
      <c r="F416" s="119"/>
      <c r="G416" s="119"/>
      <c r="H416" s="119"/>
      <c r="I416" s="119"/>
      <c r="J416" s="119"/>
      <c r="K416" s="161"/>
      <c r="L416" s="161"/>
      <c r="M416" s="161"/>
      <c r="N416" s="161"/>
      <c r="O416" s="161"/>
    </row>
    <row r="417" spans="1:15" hidden="1" outlineLevel="1" x14ac:dyDescent="0.25">
      <c r="A417" s="202"/>
      <c r="B417" s="79"/>
      <c r="C417" s="71" t="s">
        <v>75</v>
      </c>
      <c r="D417" s="79"/>
      <c r="E417" s="203">
        <v>1045.58</v>
      </c>
      <c r="F417" s="119">
        <f t="shared" ref="F417:O418" si="41">F186</f>
        <v>1507.5</v>
      </c>
      <c r="G417" s="119">
        <f t="shared" si="41"/>
        <v>1543.32</v>
      </c>
      <c r="H417" s="119">
        <f t="shared" si="41"/>
        <v>2422.12</v>
      </c>
      <c r="I417" s="119">
        <f t="shared" si="41"/>
        <v>22662.83</v>
      </c>
      <c r="J417" s="119">
        <f t="shared" si="41"/>
        <v>17841.77</v>
      </c>
      <c r="K417" s="161">
        <f t="shared" ca="1" si="41"/>
        <v>3099.6282014231329</v>
      </c>
      <c r="L417" s="161">
        <f t="shared" ca="1" si="41"/>
        <v>23221.458423545744</v>
      </c>
      <c r="M417" s="161">
        <f t="shared" ca="1" si="41"/>
        <v>49103.105855128495</v>
      </c>
      <c r="N417" s="161">
        <f t="shared" ca="1" si="41"/>
        <v>81416.65347750613</v>
      </c>
      <c r="O417" s="161">
        <f t="shared" ca="1" si="41"/>
        <v>121638.82757301517</v>
      </c>
    </row>
    <row r="418" spans="1:15" hidden="1" outlineLevel="1" x14ac:dyDescent="0.25">
      <c r="A418" s="202"/>
      <c r="B418" s="79"/>
      <c r="C418" s="79" t="s">
        <v>327</v>
      </c>
      <c r="D418" s="79"/>
      <c r="E418" s="204">
        <v>854.92</v>
      </c>
      <c r="F418" s="205">
        <f t="shared" si="41"/>
        <v>1858.72</v>
      </c>
      <c r="G418" s="205">
        <f t="shared" si="41"/>
        <v>1309.3499999999999</v>
      </c>
      <c r="H418" s="205">
        <f t="shared" si="41"/>
        <v>2176.5</v>
      </c>
      <c r="I418" s="205">
        <f t="shared" si="41"/>
        <v>1837.71</v>
      </c>
      <c r="J418" s="205">
        <f t="shared" si="41"/>
        <v>2143.14</v>
      </c>
      <c r="K418" s="206">
        <f t="shared" si="41"/>
        <v>2143.14</v>
      </c>
      <c r="L418" s="206">
        <f t="shared" si="41"/>
        <v>2143.14</v>
      </c>
      <c r="M418" s="206">
        <f t="shared" si="41"/>
        <v>2143.14</v>
      </c>
      <c r="N418" s="206">
        <f t="shared" si="41"/>
        <v>2143.14</v>
      </c>
      <c r="O418" s="206">
        <f t="shared" si="41"/>
        <v>2143.14</v>
      </c>
    </row>
    <row r="419" spans="1:15" hidden="1" outlineLevel="1" x14ac:dyDescent="0.25">
      <c r="A419" s="162"/>
      <c r="B419" s="139"/>
      <c r="C419" s="139" t="s">
        <v>328</v>
      </c>
      <c r="D419" s="139"/>
      <c r="E419" s="207">
        <f>E418+E417</f>
        <v>1900.5</v>
      </c>
      <c r="F419" s="207">
        <f t="shared" ref="F419:O419" si="42">F418+F417</f>
        <v>3366.2200000000003</v>
      </c>
      <c r="G419" s="207">
        <f t="shared" si="42"/>
        <v>2852.67</v>
      </c>
      <c r="H419" s="207">
        <f t="shared" si="42"/>
        <v>4598.62</v>
      </c>
      <c r="I419" s="207">
        <f t="shared" si="42"/>
        <v>24500.54</v>
      </c>
      <c r="J419" s="207">
        <f t="shared" si="42"/>
        <v>19984.91</v>
      </c>
      <c r="K419" s="182">
        <f t="shared" ca="1" si="42"/>
        <v>5242.7682014231323</v>
      </c>
      <c r="L419" s="182">
        <f t="shared" ca="1" si="42"/>
        <v>25364.598423545744</v>
      </c>
      <c r="M419" s="182">
        <f t="shared" ca="1" si="42"/>
        <v>51246.245855128494</v>
      </c>
      <c r="N419" s="182">
        <f t="shared" ca="1" si="42"/>
        <v>83559.793477506129</v>
      </c>
      <c r="O419" s="182">
        <f t="shared" ca="1" si="42"/>
        <v>123781.96757301516</v>
      </c>
    </row>
    <row r="420" spans="1:15" hidden="1" outlineLevel="1" x14ac:dyDescent="0.25">
      <c r="A420" s="202"/>
      <c r="B420" s="79"/>
      <c r="C420" s="127" t="s">
        <v>329</v>
      </c>
      <c r="D420" s="79"/>
      <c r="E420" s="79"/>
      <c r="F420" s="119">
        <f>(F419+E419)/2</f>
        <v>2633.36</v>
      </c>
      <c r="G420" s="119">
        <f t="shared" ref="G420:O420" si="43">(G419+F419)/2</f>
        <v>3109.4450000000002</v>
      </c>
      <c r="H420" s="119">
        <f t="shared" si="43"/>
        <v>3725.645</v>
      </c>
      <c r="I420" s="119">
        <f t="shared" si="43"/>
        <v>14549.58</v>
      </c>
      <c r="J420" s="119">
        <f t="shared" si="43"/>
        <v>22242.724999999999</v>
      </c>
      <c r="K420" s="161">
        <f t="shared" ca="1" si="43"/>
        <v>12613.839100711566</v>
      </c>
      <c r="L420" s="161">
        <f t="shared" ca="1" si="43"/>
        <v>15303.683312484438</v>
      </c>
      <c r="M420" s="161">
        <f t="shared" ca="1" si="43"/>
        <v>38305.422139337119</v>
      </c>
      <c r="N420" s="161">
        <f t="shared" ca="1" si="43"/>
        <v>67403.019666317312</v>
      </c>
      <c r="O420" s="161">
        <f t="shared" ca="1" si="43"/>
        <v>103670.88052526064</v>
      </c>
    </row>
    <row r="421" spans="1:15" hidden="1" outlineLevel="1" x14ac:dyDescent="0.25">
      <c r="A421" s="202"/>
      <c r="B421" s="79"/>
      <c r="C421" s="79"/>
      <c r="D421" s="79"/>
      <c r="E421" s="79"/>
      <c r="F421" s="119"/>
      <c r="G421" s="119"/>
      <c r="H421" s="119"/>
      <c r="I421" s="119"/>
      <c r="J421" s="119"/>
      <c r="K421" s="161"/>
      <c r="L421" s="161"/>
      <c r="M421" s="161"/>
      <c r="N421" s="161"/>
      <c r="O421" s="161"/>
    </row>
    <row r="422" spans="1:15" hidden="1" outlineLevel="1" x14ac:dyDescent="0.25">
      <c r="A422" s="202"/>
      <c r="B422" s="79"/>
      <c r="C422" s="127" t="s">
        <v>212</v>
      </c>
      <c r="D422" s="79"/>
      <c r="E422" s="79"/>
      <c r="F422" s="119"/>
      <c r="G422" s="119"/>
      <c r="H422" s="119"/>
      <c r="I422" s="119"/>
      <c r="J422" s="119"/>
      <c r="K422" s="208">
        <f>K70</f>
        <v>0.06</v>
      </c>
      <c r="L422" s="208">
        <f>L70</f>
        <v>0.06</v>
      </c>
      <c r="M422" s="208">
        <f>M70</f>
        <v>0.06</v>
      </c>
      <c r="N422" s="208">
        <f>N70</f>
        <v>0.06</v>
      </c>
      <c r="O422" s="208">
        <f>O70</f>
        <v>0.06</v>
      </c>
    </row>
    <row r="423" spans="1:15" hidden="1" outlineLevel="1" x14ac:dyDescent="0.25">
      <c r="A423" s="202"/>
      <c r="B423" s="79"/>
      <c r="C423" s="127"/>
      <c r="D423" s="79"/>
      <c r="E423" s="79"/>
      <c r="F423" s="119"/>
      <c r="G423" s="119"/>
      <c r="H423" s="119"/>
      <c r="I423" s="119"/>
      <c r="J423" s="119"/>
      <c r="K423" s="208"/>
      <c r="L423" s="208"/>
      <c r="M423" s="208"/>
      <c r="N423" s="208"/>
      <c r="O423" s="208"/>
    </row>
    <row r="424" spans="1:15" hidden="1" outlineLevel="1" x14ac:dyDescent="0.25">
      <c r="A424" s="202"/>
      <c r="B424" s="79"/>
      <c r="C424" s="127" t="s">
        <v>346</v>
      </c>
      <c r="D424" s="79"/>
      <c r="E424" s="79"/>
      <c r="F424" s="119"/>
      <c r="G424" s="119"/>
      <c r="H424" s="119"/>
      <c r="I424" s="119"/>
      <c r="J424" s="119"/>
      <c r="K424" s="161">
        <f ca="1">K420*K422</f>
        <v>756.83034604269392</v>
      </c>
      <c r="L424" s="161">
        <f ca="1">L420*L422</f>
        <v>918.22099874906621</v>
      </c>
      <c r="M424" s="161">
        <f ca="1">M420*M422</f>
        <v>2298.3253283602271</v>
      </c>
      <c r="N424" s="161">
        <f ca="1">N420*N422</f>
        <v>4044.1811799790385</v>
      </c>
      <c r="O424" s="161">
        <f ca="1">O420*O422</f>
        <v>6220.2528315156378</v>
      </c>
    </row>
    <row r="425" spans="1:15" hidden="1" outlineLevel="1" x14ac:dyDescent="0.25">
      <c r="A425" s="202"/>
      <c r="B425" s="79"/>
      <c r="C425" s="79"/>
      <c r="D425" s="79"/>
      <c r="E425" s="79"/>
      <c r="F425" s="119"/>
      <c r="G425" s="119"/>
      <c r="H425" s="119"/>
      <c r="I425" s="119"/>
      <c r="J425" s="119"/>
      <c r="K425" s="161"/>
      <c r="L425" s="161"/>
      <c r="M425" s="161"/>
      <c r="N425" s="161"/>
      <c r="O425" s="161"/>
    </row>
    <row r="426" spans="1:15" hidden="1" outlineLevel="1" x14ac:dyDescent="0.25">
      <c r="A426" s="202"/>
      <c r="B426" s="202" t="s">
        <v>330</v>
      </c>
      <c r="C426" s="79"/>
      <c r="D426" s="79"/>
      <c r="E426" s="79"/>
      <c r="F426" s="119"/>
      <c r="G426" s="119"/>
      <c r="H426" s="119"/>
      <c r="I426" s="119"/>
      <c r="J426" s="119"/>
      <c r="K426" s="161"/>
      <c r="L426" s="161"/>
      <c r="M426" s="161"/>
      <c r="N426" s="161"/>
      <c r="O426" s="161"/>
    </row>
    <row r="427" spans="1:15" hidden="1" outlineLevel="1" x14ac:dyDescent="0.25">
      <c r="A427" s="202"/>
      <c r="B427" s="79"/>
      <c r="C427" s="79" t="s">
        <v>331</v>
      </c>
      <c r="D427" s="79"/>
      <c r="E427" s="79"/>
      <c r="F427" s="119"/>
      <c r="G427" s="119"/>
      <c r="H427" s="119"/>
      <c r="I427" s="119"/>
      <c r="J427" s="119"/>
      <c r="K427" s="161">
        <f>K164</f>
        <v>17841.769999999979</v>
      </c>
      <c r="L427" s="161">
        <f ca="1">L164</f>
        <v>3099.6282014231329</v>
      </c>
      <c r="M427" s="161">
        <f ca="1">M164</f>
        <v>23221.458423545744</v>
      </c>
      <c r="N427" s="161">
        <f ca="1">N164</f>
        <v>49103.105855128495</v>
      </c>
      <c r="O427" s="161">
        <f ca="1">O164</f>
        <v>81416.65347750613</v>
      </c>
    </row>
    <row r="428" spans="1:15" hidden="1" outlineLevel="1" x14ac:dyDescent="0.25">
      <c r="A428" s="202"/>
      <c r="B428" s="79"/>
      <c r="C428" s="79" t="s">
        <v>335</v>
      </c>
      <c r="D428" s="79"/>
      <c r="E428" s="79"/>
      <c r="F428" s="119"/>
      <c r="G428" s="119"/>
      <c r="H428" s="119"/>
      <c r="I428" s="119"/>
      <c r="J428" s="119"/>
      <c r="K428" s="161">
        <f>-K68</f>
        <v>-2270.6546263568857</v>
      </c>
      <c r="L428" s="161">
        <f>-L68</f>
        <v>-2588.4620979088236</v>
      </c>
      <c r="M428" s="161">
        <f>-M68</f>
        <v>-2961.5052683872036</v>
      </c>
      <c r="N428" s="161">
        <f>-N68</f>
        <v>-3400.0412283513083</v>
      </c>
      <c r="O428" s="161">
        <f>-O68</f>
        <v>-3905.3842700470823</v>
      </c>
    </row>
    <row r="429" spans="1:15" hidden="1" outlineLevel="1" x14ac:dyDescent="0.25">
      <c r="A429" s="202"/>
      <c r="B429" s="79"/>
      <c r="C429" s="127" t="s">
        <v>337</v>
      </c>
      <c r="D429" s="79"/>
      <c r="E429" s="79"/>
      <c r="F429" s="119"/>
      <c r="G429" s="119"/>
      <c r="H429" s="119"/>
      <c r="I429" s="119"/>
      <c r="J429" s="119"/>
      <c r="K429" s="161">
        <f ca="1">K143+K151+K155+K158+K159+K160+K156</f>
        <v>-2019.2117985768448</v>
      </c>
      <c r="L429" s="161">
        <f ca="1">L143+L151+L155+L158+L159+L160+L156</f>
        <v>20121.830222122608</v>
      </c>
      <c r="M429" s="161">
        <f ca="1">M143+M151+M155+M158+M159+M160+M156</f>
        <v>25881.647431582755</v>
      </c>
      <c r="N429" s="161">
        <f ca="1">N143+N151+N155+N158+N159+N160+N156</f>
        <v>32313.547622377631</v>
      </c>
      <c r="O429" s="161">
        <f ca="1">O143+O151+O155+O158+O159+O160+O156</f>
        <v>40222.174095509021</v>
      </c>
    </row>
    <row r="430" spans="1:15" hidden="1" outlineLevel="1" x14ac:dyDescent="0.25">
      <c r="A430" s="162"/>
      <c r="B430" s="139"/>
      <c r="C430" s="139" t="s">
        <v>338</v>
      </c>
      <c r="D430" s="139"/>
      <c r="E430" s="139"/>
      <c r="F430" s="140"/>
      <c r="G430" s="140"/>
      <c r="H430" s="140"/>
      <c r="I430" s="140"/>
      <c r="J430" s="140"/>
      <c r="K430" s="157">
        <f ca="1">SUM(K427:K429)</f>
        <v>13551.903575066248</v>
      </c>
      <c r="L430" s="157">
        <f ca="1">SUM(L427:L429)</f>
        <v>20632.996325636916</v>
      </c>
      <c r="M430" s="157">
        <f ca="1">SUM(M427:M429)</f>
        <v>46141.60058674129</v>
      </c>
      <c r="N430" s="157">
        <f ca="1">SUM(N427:N429)</f>
        <v>78016.612249154816</v>
      </c>
      <c r="O430" s="157">
        <f ca="1">SUM(O427:O429)</f>
        <v>117733.44330296807</v>
      </c>
    </row>
    <row r="431" spans="1:15" hidden="1" outlineLevel="1" x14ac:dyDescent="0.25">
      <c r="A431" s="202"/>
      <c r="B431" s="79"/>
      <c r="C431" s="79"/>
      <c r="D431" s="79"/>
      <c r="E431" s="79"/>
      <c r="F431" s="119"/>
      <c r="G431" s="119"/>
      <c r="H431" s="119"/>
      <c r="I431" s="119"/>
      <c r="J431" s="119"/>
      <c r="K431" s="161"/>
      <c r="L431" s="161"/>
      <c r="M431" s="161"/>
      <c r="N431" s="161"/>
      <c r="O431" s="161"/>
    </row>
    <row r="432" spans="1:15" hidden="1" outlineLevel="1" x14ac:dyDescent="0.25">
      <c r="A432" s="202"/>
      <c r="B432" s="79"/>
      <c r="C432" s="127" t="s">
        <v>339</v>
      </c>
      <c r="D432" s="79"/>
      <c r="E432" s="79"/>
      <c r="F432" s="119"/>
      <c r="G432" s="119"/>
      <c r="H432" s="119"/>
      <c r="I432" s="119"/>
      <c r="J432" s="119"/>
      <c r="K432" s="161">
        <f>J434</f>
        <v>12722.93</v>
      </c>
      <c r="L432" s="161">
        <f ca="1">K434</f>
        <v>0</v>
      </c>
      <c r="M432" s="161">
        <f ca="1">L434</f>
        <v>0</v>
      </c>
      <c r="N432" s="161">
        <f ca="1">M434</f>
        <v>0</v>
      </c>
      <c r="O432" s="161">
        <f ca="1">N434</f>
        <v>0</v>
      </c>
    </row>
    <row r="433" spans="1:15" hidden="1" outlineLevel="1" x14ac:dyDescent="0.25">
      <c r="A433" s="202"/>
      <c r="B433" s="79"/>
      <c r="C433" s="127" t="s">
        <v>340</v>
      </c>
      <c r="D433" s="79"/>
      <c r="E433" s="79"/>
      <c r="F433" s="119"/>
      <c r="G433" s="119"/>
      <c r="H433" s="119"/>
      <c r="I433" s="119"/>
      <c r="J433" s="119"/>
      <c r="K433" s="161">
        <f ca="1">-MIN(K430,K432)</f>
        <v>-12722.93</v>
      </c>
      <c r="L433" s="161">
        <f ca="1">-MIN(L430,L432)</f>
        <v>0</v>
      </c>
      <c r="M433" s="161">
        <f ca="1">-MIN(M430,M432)</f>
        <v>0</v>
      </c>
      <c r="N433" s="161">
        <f ca="1">-MIN(N430,N432)</f>
        <v>0</v>
      </c>
      <c r="O433" s="161">
        <f ca="1">-MIN(O430,O432)</f>
        <v>0</v>
      </c>
    </row>
    <row r="434" spans="1:15" hidden="1" outlineLevel="1" x14ac:dyDescent="0.25">
      <c r="A434" s="162"/>
      <c r="B434" s="139"/>
      <c r="C434" s="209" t="s">
        <v>341</v>
      </c>
      <c r="D434" s="139"/>
      <c r="E434" s="139"/>
      <c r="F434" s="140"/>
      <c r="G434" s="140"/>
      <c r="H434" s="140"/>
      <c r="I434" s="140"/>
      <c r="J434" s="140">
        <f>J209</f>
        <v>12722.93</v>
      </c>
      <c r="K434" s="157">
        <f ca="1">SUM(K432:K433)</f>
        <v>0</v>
      </c>
      <c r="L434" s="157">
        <f ca="1">SUM(L432:L433)</f>
        <v>0</v>
      </c>
      <c r="M434" s="157">
        <f ca="1">SUM(M432:M433)</f>
        <v>0</v>
      </c>
      <c r="N434" s="157">
        <f ca="1">SUM(N432:N433)</f>
        <v>0</v>
      </c>
      <c r="O434" s="157">
        <f ca="1">SUM(O432:O433)</f>
        <v>0</v>
      </c>
    </row>
    <row r="435" spans="1:15" hidden="1" outlineLevel="1" x14ac:dyDescent="0.25">
      <c r="A435" s="202"/>
      <c r="B435" s="79"/>
      <c r="C435" s="127" t="s">
        <v>343</v>
      </c>
      <c r="D435" s="79"/>
      <c r="E435" s="79"/>
      <c r="F435" s="119"/>
      <c r="G435" s="119"/>
      <c r="H435" s="119"/>
      <c r="I435" s="119"/>
      <c r="J435" s="119"/>
      <c r="K435" s="161"/>
      <c r="L435" s="161"/>
      <c r="M435" s="161"/>
      <c r="N435" s="161"/>
      <c r="O435" s="161"/>
    </row>
    <row r="436" spans="1:15" hidden="1" outlineLevel="1" x14ac:dyDescent="0.25">
      <c r="A436" s="202"/>
      <c r="B436" s="79"/>
      <c r="C436" s="127"/>
      <c r="D436" s="79"/>
      <c r="E436" s="79"/>
      <c r="F436" s="119"/>
      <c r="G436" s="119"/>
      <c r="H436" s="119"/>
      <c r="I436" s="119"/>
      <c r="J436" s="119"/>
      <c r="K436" s="161"/>
      <c r="L436" s="161"/>
      <c r="M436" s="161"/>
      <c r="N436" s="161"/>
      <c r="O436" s="161"/>
    </row>
    <row r="437" spans="1:15" hidden="1" outlineLevel="1" x14ac:dyDescent="0.25">
      <c r="A437" s="202"/>
      <c r="B437" s="79"/>
      <c r="C437" s="127" t="s">
        <v>344</v>
      </c>
      <c r="D437" s="79"/>
      <c r="E437" s="79"/>
      <c r="F437" s="119"/>
      <c r="G437" s="119"/>
      <c r="H437" s="119"/>
      <c r="I437" s="119"/>
      <c r="J437" s="119"/>
      <c r="K437" s="208">
        <f>K69</f>
        <v>0.10249999999999999</v>
      </c>
      <c r="L437" s="208">
        <f>L69</f>
        <v>0.10249999999999999</v>
      </c>
      <c r="M437" s="208">
        <f>M69</f>
        <v>0.10249999999999999</v>
      </c>
      <c r="N437" s="208">
        <f>N69</f>
        <v>0.10249999999999999</v>
      </c>
      <c r="O437" s="208">
        <f>O69</f>
        <v>0.10249999999999999</v>
      </c>
    </row>
    <row r="438" spans="1:15" hidden="1" outlineLevel="1" x14ac:dyDescent="0.25">
      <c r="A438" s="162"/>
      <c r="B438" s="139"/>
      <c r="C438" s="209" t="s">
        <v>345</v>
      </c>
      <c r="D438" s="139"/>
      <c r="E438" s="139"/>
      <c r="F438" s="140"/>
      <c r="G438" s="140"/>
      <c r="H438" s="140"/>
      <c r="I438" s="140"/>
      <c r="J438" s="140"/>
      <c r="K438" s="157">
        <f ca="1">AVERAGE(K432,K434)*K437</f>
        <v>652.05016249999994</v>
      </c>
      <c r="L438" s="157">
        <f ca="1">AVERAGE(L432,L434)*L437</f>
        <v>0</v>
      </c>
      <c r="M438" s="157">
        <f ca="1">AVERAGE(M432,M434)*M437</f>
        <v>0</v>
      </c>
      <c r="N438" s="157">
        <f ca="1">AVERAGE(N432,N434)*N437</f>
        <v>0</v>
      </c>
      <c r="O438" s="157">
        <f ca="1">AVERAGE(O432,O434)*O437</f>
        <v>0</v>
      </c>
    </row>
    <row r="439" spans="1:15" hidden="1" outlineLevel="1" x14ac:dyDescent="0.25">
      <c r="A439" s="202"/>
      <c r="B439" s="79"/>
      <c r="C439" s="71"/>
      <c r="D439" s="71"/>
      <c r="E439" s="71"/>
      <c r="F439" s="123"/>
      <c r="G439" s="123"/>
      <c r="H439" s="123"/>
      <c r="I439" s="123"/>
      <c r="J439" s="123"/>
      <c r="K439" s="148"/>
      <c r="L439" s="148"/>
      <c r="M439" s="148"/>
      <c r="N439" s="148"/>
      <c r="O439" s="148"/>
    </row>
    <row r="440" spans="1:15" hidden="1" outlineLevel="1" x14ac:dyDescent="0.25">
      <c r="A440" s="202"/>
      <c r="B440" s="202" t="s">
        <v>284</v>
      </c>
      <c r="C440" s="71"/>
      <c r="D440" s="71"/>
      <c r="E440" s="71"/>
      <c r="F440" s="123"/>
      <c r="G440" s="123"/>
      <c r="H440" s="123"/>
      <c r="I440" s="123"/>
      <c r="J440" s="123"/>
      <c r="K440" s="148"/>
      <c r="L440" s="148"/>
      <c r="M440" s="148"/>
      <c r="N440" s="148"/>
      <c r="O440" s="148"/>
    </row>
    <row r="441" spans="1:15" hidden="1" outlineLevel="1" x14ac:dyDescent="0.25">
      <c r="A441" s="202"/>
      <c r="B441" s="79"/>
      <c r="C441" s="71" t="s">
        <v>282</v>
      </c>
      <c r="D441" s="71"/>
      <c r="E441" s="71"/>
      <c r="F441" s="123"/>
      <c r="G441" s="123"/>
      <c r="H441" s="123"/>
      <c r="I441" s="123"/>
      <c r="J441" s="123"/>
      <c r="K441" s="210">
        <f>'Term Loans'!F189</f>
        <v>2770.448269525571</v>
      </c>
      <c r="L441" s="210">
        <f>'Term Loans'!G189</f>
        <v>1435.4118184875047</v>
      </c>
      <c r="M441" s="210">
        <f>'Term Loans'!H189</f>
        <v>443.33866000000023</v>
      </c>
      <c r="N441" s="210">
        <f>'Term Loans'!I189</f>
        <v>50.215240000000108</v>
      </c>
      <c r="O441" s="210">
        <f>'Term Loans'!J189</f>
        <v>1.1368683772161603E-13</v>
      </c>
    </row>
    <row r="442" spans="1:15" hidden="1" outlineLevel="1" x14ac:dyDescent="0.25">
      <c r="A442" s="71"/>
      <c r="B442" s="71"/>
      <c r="C442" s="71" t="s">
        <v>283</v>
      </c>
      <c r="D442" s="71"/>
      <c r="E442" s="71"/>
      <c r="F442" s="123"/>
      <c r="G442" s="123"/>
      <c r="H442" s="123"/>
      <c r="I442" s="123"/>
      <c r="J442" s="123"/>
      <c r="K442" s="148">
        <f>'Term Loans'!F188</f>
        <v>2042.5502027536611</v>
      </c>
      <c r="L442" s="148">
        <f>'Term Loans'!G188</f>
        <v>1334.4636991004363</v>
      </c>
      <c r="M442" s="148">
        <f>'Term Loans'!H188</f>
        <v>993.12342000000001</v>
      </c>
      <c r="N442" s="148">
        <f>'Term Loans'!I188</f>
        <v>393.12342000000001</v>
      </c>
      <c r="O442" s="148">
        <f>'Term Loans'!J188</f>
        <v>50.215239999999994</v>
      </c>
    </row>
    <row r="443" spans="1:15" hidden="1" outlineLevel="1" x14ac:dyDescent="0.25">
      <c r="A443" s="71"/>
      <c r="B443" s="72"/>
      <c r="C443" s="71" t="s">
        <v>57</v>
      </c>
      <c r="D443" s="71"/>
      <c r="E443" s="71"/>
      <c r="F443" s="123"/>
      <c r="G443" s="123"/>
      <c r="H443" s="123"/>
      <c r="I443" s="123"/>
      <c r="J443" s="123"/>
      <c r="K443" s="148">
        <f>'Term Loans'!E187</f>
        <v>372.3059552587867</v>
      </c>
      <c r="L443" s="148">
        <f>'Term Loans'!F187</f>
        <v>246.21855645025971</v>
      </c>
      <c r="M443" s="148">
        <f>'Term Loans'!G187</f>
        <v>140.28932360471521</v>
      </c>
      <c r="N443" s="148">
        <f>'Term Loans'!H187</f>
        <v>57.139161774486311</v>
      </c>
      <c r="O443" s="148">
        <f>'Term Loans'!I187</f>
        <v>16.541539289691791</v>
      </c>
    </row>
    <row r="444" spans="1:15" hidden="1" outlineLevel="1" x14ac:dyDescent="0.25">
      <c r="A444" s="71"/>
      <c r="B444" s="71"/>
      <c r="C444" s="71"/>
      <c r="D444" s="71"/>
      <c r="E444" s="71"/>
      <c r="F444" s="123"/>
      <c r="G444" s="123"/>
      <c r="H444" s="123"/>
      <c r="I444" s="123"/>
      <c r="J444" s="123"/>
      <c r="K444" s="148"/>
      <c r="L444" s="148"/>
      <c r="M444" s="148"/>
      <c r="N444" s="148"/>
      <c r="O444" s="148"/>
    </row>
    <row r="445" spans="1:15" hidden="1" outlineLevel="1" x14ac:dyDescent="0.25">
      <c r="A445" s="71"/>
      <c r="B445" s="72" t="s">
        <v>285</v>
      </c>
      <c r="C445" s="71"/>
      <c r="D445" s="71"/>
      <c r="E445" s="71"/>
      <c r="F445" s="123"/>
      <c r="G445" s="123"/>
      <c r="H445" s="123"/>
      <c r="I445" s="123"/>
      <c r="J445" s="123"/>
      <c r="K445" s="148"/>
      <c r="L445" s="148"/>
      <c r="M445" s="148"/>
      <c r="N445" s="148"/>
      <c r="O445" s="148"/>
    </row>
    <row r="446" spans="1:15" hidden="1" outlineLevel="1" x14ac:dyDescent="0.25">
      <c r="A446" s="71"/>
      <c r="B446" s="71"/>
      <c r="C446" s="71" t="s">
        <v>286</v>
      </c>
      <c r="D446" s="71"/>
      <c r="E446" s="71"/>
      <c r="F446" s="123"/>
      <c r="G446" s="123"/>
      <c r="H446" s="123"/>
      <c r="I446" s="123"/>
      <c r="J446" s="149">
        <v>514.19000000000005</v>
      </c>
      <c r="K446" s="148">
        <f>J446</f>
        <v>514.19000000000005</v>
      </c>
      <c r="L446" s="148">
        <f t="shared" ref="L446:O447" si="44">K446</f>
        <v>514.19000000000005</v>
      </c>
      <c r="M446" s="148">
        <f t="shared" si="44"/>
        <v>514.19000000000005</v>
      </c>
      <c r="N446" s="148">
        <f t="shared" si="44"/>
        <v>514.19000000000005</v>
      </c>
      <c r="O446" s="148">
        <f t="shared" si="44"/>
        <v>514.19000000000005</v>
      </c>
    </row>
    <row r="447" spans="1:15" hidden="1" outlineLevel="1" x14ac:dyDescent="0.25">
      <c r="A447" s="71"/>
      <c r="B447" s="71"/>
      <c r="C447" s="71" t="s">
        <v>315</v>
      </c>
      <c r="D447" s="71"/>
      <c r="E447" s="71"/>
      <c r="F447" s="123"/>
      <c r="G447" s="123"/>
      <c r="H447" s="123"/>
      <c r="I447" s="123"/>
      <c r="J447" s="149">
        <v>1172.55</v>
      </c>
      <c r="K447" s="148">
        <f>J447</f>
        <v>1172.55</v>
      </c>
      <c r="L447" s="148">
        <f t="shared" si="44"/>
        <v>1172.55</v>
      </c>
      <c r="M447" s="148">
        <f t="shared" si="44"/>
        <v>1172.55</v>
      </c>
      <c r="N447" s="148">
        <f t="shared" si="44"/>
        <v>1172.55</v>
      </c>
      <c r="O447" s="148">
        <f t="shared" si="44"/>
        <v>1172.55</v>
      </c>
    </row>
    <row r="448" spans="1:15" hidden="1" outlineLevel="1" x14ac:dyDescent="0.25">
      <c r="A448" s="71"/>
      <c r="B448" s="72"/>
      <c r="C448" s="71"/>
      <c r="D448" s="71"/>
      <c r="E448" s="71"/>
      <c r="F448" s="123"/>
      <c r="G448" s="123"/>
      <c r="H448" s="123"/>
      <c r="I448" s="123"/>
      <c r="J448" s="123"/>
      <c r="K448" s="148"/>
      <c r="L448" s="148"/>
      <c r="M448" s="148"/>
      <c r="N448" s="148"/>
      <c r="O448" s="148"/>
    </row>
    <row r="449" spans="1:15" hidden="1" outlineLevel="1" x14ac:dyDescent="0.25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181"/>
      <c r="L449" s="181"/>
      <c r="M449" s="181"/>
      <c r="N449" s="181"/>
      <c r="O449" s="181"/>
    </row>
    <row r="450" spans="1:15" hidden="1" outlineLevel="1" x14ac:dyDescent="0.25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147"/>
      <c r="L450" s="147"/>
      <c r="M450" s="147"/>
      <c r="N450" s="147"/>
      <c r="O450" s="147"/>
    </row>
    <row r="451" spans="1:15" hidden="1" outlineLevel="1" x14ac:dyDescent="0.25">
      <c r="A451" s="71"/>
      <c r="B451" s="72" t="s">
        <v>290</v>
      </c>
      <c r="C451" s="71"/>
      <c r="D451" s="71"/>
      <c r="E451" s="71"/>
      <c r="F451" s="71"/>
      <c r="G451" s="71"/>
      <c r="H451" s="71"/>
      <c r="I451" s="71"/>
      <c r="J451" s="71"/>
      <c r="K451" s="181">
        <f ca="1">K438+K446+K443</f>
        <v>1538.5461177587867</v>
      </c>
      <c r="L451" s="181">
        <f ca="1">L438+L446+L443</f>
        <v>760.40855645025977</v>
      </c>
      <c r="M451" s="181">
        <f ca="1">M438+M446+M443</f>
        <v>654.47932360471532</v>
      </c>
      <c r="N451" s="181">
        <f ca="1">N438+N446+N443</f>
        <v>571.32916177448635</v>
      </c>
      <c r="O451" s="181">
        <f ca="1">O438+O446+O443</f>
        <v>530.7315392896918</v>
      </c>
    </row>
    <row r="452" spans="1:15" hidden="1" outlineLevel="1" x14ac:dyDescent="0.25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147"/>
      <c r="L452" s="147"/>
      <c r="M452" s="147"/>
      <c r="N452" s="147"/>
      <c r="O452" s="147"/>
    </row>
    <row r="453" spans="1:15" hidden="1" outlineLevel="1" x14ac:dyDescent="0.25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147"/>
      <c r="L453" s="147"/>
      <c r="M453" s="147"/>
      <c r="N453" s="147"/>
      <c r="O453" s="147"/>
    </row>
    <row r="454" spans="1:15" hidden="1" outlineLevel="1" x14ac:dyDescent="0.25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185"/>
      <c r="L454" s="185"/>
      <c r="M454" s="185"/>
      <c r="N454" s="185"/>
      <c r="O454" s="185"/>
    </row>
    <row r="455" spans="1:15" collapsed="1" x14ac:dyDescent="0.25">
      <c r="A455" s="71"/>
      <c r="B455" s="72"/>
      <c r="C455" s="71"/>
      <c r="D455" s="71"/>
      <c r="E455" s="71"/>
      <c r="F455" s="71"/>
      <c r="G455" s="71"/>
      <c r="H455" s="71"/>
      <c r="I455" s="71"/>
      <c r="J455" s="71"/>
      <c r="K455" s="185"/>
      <c r="L455" s="185"/>
      <c r="M455" s="185"/>
      <c r="N455" s="185"/>
      <c r="O455" s="185"/>
    </row>
    <row r="456" spans="1:15" ht="25.5" x14ac:dyDescent="0.35">
      <c r="A456" s="142" t="s">
        <v>291</v>
      </c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5"/>
    </row>
    <row r="457" spans="1:15" hidden="1" outlineLevel="1" x14ac:dyDescent="0.25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</row>
    <row r="458" spans="1:15" hidden="1" outlineLevel="1" x14ac:dyDescent="0.25">
      <c r="A458" s="144" t="s">
        <v>155</v>
      </c>
      <c r="B458" s="86"/>
      <c r="C458" s="86"/>
      <c r="D458" s="86"/>
      <c r="E458" s="86"/>
      <c r="F458" s="145">
        <f>G458-1</f>
        <v>2021</v>
      </c>
      <c r="G458" s="145">
        <f>H458-1</f>
        <v>2022</v>
      </c>
      <c r="H458" s="145">
        <f>I458-1</f>
        <v>2023</v>
      </c>
      <c r="I458" s="145">
        <f>J458-1</f>
        <v>2024</v>
      </c>
      <c r="J458" s="145">
        <f>K458-1</f>
        <v>2025</v>
      </c>
      <c r="K458" s="146">
        <f>K$82</f>
        <v>2026</v>
      </c>
      <c r="L458" s="146">
        <f>L$82</f>
        <v>2027</v>
      </c>
      <c r="M458" s="146">
        <f>M$82</f>
        <v>2028</v>
      </c>
      <c r="N458" s="146">
        <f>N$82</f>
        <v>2029</v>
      </c>
      <c r="O458" s="146">
        <f>O$82</f>
        <v>2030</v>
      </c>
    </row>
    <row r="459" spans="1:15" hidden="1" outlineLevel="1" x14ac:dyDescent="0.25">
      <c r="A459" s="202"/>
      <c r="B459" s="79"/>
      <c r="C459" s="79"/>
      <c r="D459" s="79"/>
      <c r="E459" s="79"/>
      <c r="F459" s="211"/>
      <c r="G459" s="211"/>
      <c r="H459" s="211"/>
      <c r="I459" s="211"/>
      <c r="J459" s="211"/>
      <c r="K459" s="212"/>
      <c r="L459" s="212"/>
      <c r="M459" s="212"/>
      <c r="N459" s="212"/>
      <c r="O459" s="212"/>
    </row>
    <row r="460" spans="1:15" hidden="1" outlineLevel="1" x14ac:dyDescent="0.25">
      <c r="A460" s="202"/>
      <c r="B460" s="79"/>
      <c r="C460" s="79" t="s">
        <v>347</v>
      </c>
      <c r="D460" s="79"/>
      <c r="E460" s="79"/>
      <c r="F460" s="211"/>
      <c r="G460" s="211"/>
      <c r="H460" s="211"/>
      <c r="I460" s="211"/>
      <c r="J460" s="160">
        <f t="shared" ref="J460:O460" si="45">J87</f>
        <v>216853.79</v>
      </c>
      <c r="K460" s="148">
        <f t="shared" si="45"/>
        <v>260620.14328100003</v>
      </c>
      <c r="L460" s="148">
        <f t="shared" si="45"/>
        <v>297097.30181062146</v>
      </c>
      <c r="M460" s="148">
        <f t="shared" si="45"/>
        <v>339914.27776616823</v>
      </c>
      <c r="N460" s="148">
        <f t="shared" si="45"/>
        <v>390248.35472928995</v>
      </c>
      <c r="O460" s="148">
        <f t="shared" si="45"/>
        <v>448250.38392565306</v>
      </c>
    </row>
    <row r="461" spans="1:15" hidden="1" outlineLevel="1" x14ac:dyDescent="0.25">
      <c r="A461" s="202"/>
      <c r="B461" s="79"/>
      <c r="C461" s="79" t="s">
        <v>348</v>
      </c>
      <c r="D461" s="79"/>
      <c r="E461" s="79"/>
      <c r="F461" s="211"/>
      <c r="G461" s="211"/>
      <c r="H461" s="211"/>
      <c r="I461" s="211"/>
      <c r="J461" s="211"/>
      <c r="K461" s="189">
        <f>K460/J460-1</f>
        <v>0.2018242488683275</v>
      </c>
      <c r="L461" s="189">
        <f>L460/K460-1</f>
        <v>0.13996292869155491</v>
      </c>
      <c r="M461" s="189">
        <f>M460/L460-1</f>
        <v>0.14411768701568217</v>
      </c>
      <c r="N461" s="189">
        <f>N460/M460-1</f>
        <v>0.14807873706837116</v>
      </c>
      <c r="O461" s="189">
        <f>O460/N460-1</f>
        <v>0.14862850411399764</v>
      </c>
    </row>
    <row r="462" spans="1:15" hidden="1" outlineLevel="1" x14ac:dyDescent="0.25">
      <c r="A462" s="202"/>
      <c r="B462" s="79"/>
      <c r="C462" s="79"/>
      <c r="D462" s="79"/>
      <c r="E462" s="79"/>
      <c r="F462" s="211"/>
      <c r="G462" s="211"/>
      <c r="H462" s="211"/>
      <c r="I462" s="211"/>
      <c r="J462" s="211"/>
      <c r="K462" s="212"/>
      <c r="L462" s="212"/>
      <c r="M462" s="212"/>
      <c r="N462" s="212"/>
      <c r="O462" s="212"/>
    </row>
    <row r="463" spans="1:15" hidden="1" outlineLevel="1" x14ac:dyDescent="0.25">
      <c r="A463" s="71"/>
      <c r="B463" s="71"/>
      <c r="C463" s="71"/>
      <c r="D463" s="71"/>
      <c r="E463" s="71"/>
      <c r="F463" s="123"/>
      <c r="G463" s="123"/>
      <c r="H463" s="123"/>
      <c r="I463" s="123"/>
      <c r="J463" s="123"/>
      <c r="K463" s="148"/>
      <c r="L463" s="148"/>
      <c r="M463" s="148"/>
      <c r="N463" s="148"/>
      <c r="O463" s="148"/>
    </row>
    <row r="464" spans="1:15" hidden="1" outlineLevel="1" x14ac:dyDescent="0.25">
      <c r="A464" s="71"/>
      <c r="B464" s="72" t="s">
        <v>292</v>
      </c>
      <c r="C464" s="71"/>
      <c r="D464" s="71"/>
      <c r="E464" s="71"/>
      <c r="F464" s="123"/>
      <c r="G464" s="123"/>
      <c r="H464" s="123"/>
      <c r="I464" s="123"/>
      <c r="J464" s="123"/>
      <c r="K464" s="148"/>
      <c r="L464" s="148"/>
      <c r="M464" s="148"/>
      <c r="N464" s="148"/>
      <c r="O464" s="148"/>
    </row>
    <row r="465" spans="1:15" hidden="1" outlineLevel="1" x14ac:dyDescent="0.25">
      <c r="A465" s="71"/>
      <c r="B465" s="72"/>
      <c r="C465" s="71" t="s">
        <v>349</v>
      </c>
      <c r="D465" s="71"/>
      <c r="E465" s="71"/>
      <c r="F465" s="123"/>
      <c r="G465" s="123"/>
      <c r="H465" s="123"/>
      <c r="I465" s="123"/>
      <c r="J465" s="123">
        <f>J180</f>
        <v>3261.95</v>
      </c>
      <c r="K465" s="148">
        <f>J465*(1+K461)</f>
        <v>3920.2906085960408</v>
      </c>
      <c r="L465" s="148">
        <f>K465*(1+L461)</f>
        <v>4468.9859634971408</v>
      </c>
      <c r="M465" s="148">
        <f>L465*(1+M461)</f>
        <v>5113.0458838618988</v>
      </c>
      <c r="N465" s="148">
        <f>M465*(1+N461)</f>
        <v>5870.1792609168024</v>
      </c>
      <c r="O465" s="148">
        <f>N465*(1+O461)</f>
        <v>6742.6552233478787</v>
      </c>
    </row>
    <row r="466" spans="1:15" hidden="1" outlineLevel="1" x14ac:dyDescent="0.25">
      <c r="A466" s="71"/>
      <c r="B466" s="71"/>
      <c r="C466" s="71" t="s">
        <v>71</v>
      </c>
      <c r="D466" s="71"/>
      <c r="E466" s="71"/>
      <c r="F466" s="123"/>
      <c r="G466" s="123"/>
      <c r="H466" s="123"/>
      <c r="I466" s="123"/>
      <c r="J466" s="149">
        <v>13690.47</v>
      </c>
      <c r="K466" s="148">
        <f>J466</f>
        <v>13690.47</v>
      </c>
      <c r="L466" s="148">
        <f t="shared" ref="L466:O467" si="46">K466</f>
        <v>13690.47</v>
      </c>
      <c r="M466" s="148">
        <f t="shared" si="46"/>
        <v>13690.47</v>
      </c>
      <c r="N466" s="148">
        <f t="shared" si="46"/>
        <v>13690.47</v>
      </c>
      <c r="O466" s="148">
        <f t="shared" si="46"/>
        <v>13690.47</v>
      </c>
    </row>
    <row r="467" spans="1:15" hidden="1" outlineLevel="1" x14ac:dyDescent="0.25">
      <c r="A467" s="71"/>
      <c r="B467" s="71"/>
      <c r="C467" s="71" t="s">
        <v>319</v>
      </c>
      <c r="D467" s="71"/>
      <c r="E467" s="71"/>
      <c r="F467" s="123"/>
      <c r="G467" s="123"/>
      <c r="H467" s="123"/>
      <c r="I467" s="123"/>
      <c r="J467" s="149">
        <v>1172.55</v>
      </c>
      <c r="K467" s="148">
        <f>J467</f>
        <v>1172.55</v>
      </c>
      <c r="L467" s="148">
        <f t="shared" si="46"/>
        <v>1172.55</v>
      </c>
      <c r="M467" s="148">
        <f t="shared" si="46"/>
        <v>1172.55</v>
      </c>
      <c r="N467" s="148">
        <f t="shared" si="46"/>
        <v>1172.55</v>
      </c>
      <c r="O467" s="148">
        <f t="shared" si="46"/>
        <v>1172.55</v>
      </c>
    </row>
    <row r="468" spans="1:15" hidden="1" outlineLevel="1" x14ac:dyDescent="0.25">
      <c r="A468" s="71"/>
      <c r="B468" s="71"/>
      <c r="C468" s="71"/>
      <c r="D468" s="71"/>
      <c r="E468" s="71"/>
      <c r="F468" s="123"/>
      <c r="G468" s="123"/>
      <c r="H468" s="123"/>
      <c r="I468" s="123"/>
      <c r="J468" s="123"/>
      <c r="K468" s="148"/>
      <c r="L468" s="148"/>
      <c r="M468" s="148"/>
      <c r="N468" s="148"/>
      <c r="O468" s="148"/>
    </row>
    <row r="469" spans="1:15" hidden="1" outlineLevel="1" x14ac:dyDescent="0.25">
      <c r="A469" s="71"/>
      <c r="B469" s="71"/>
      <c r="C469" s="71" t="s">
        <v>299</v>
      </c>
      <c r="D469" s="71"/>
      <c r="E469" s="71"/>
      <c r="F469" s="123"/>
      <c r="G469" s="123"/>
      <c r="H469" s="123"/>
      <c r="I469" s="123"/>
      <c r="J469" s="149">
        <v>3542.13</v>
      </c>
      <c r="K469" s="148">
        <f>J471</f>
        <v>3542.13</v>
      </c>
      <c r="L469" s="148">
        <f>K471</f>
        <v>8231.32</v>
      </c>
      <c r="M469" s="148">
        <f>L471</f>
        <v>8231.32</v>
      </c>
      <c r="N469" s="148">
        <f>M471</f>
        <v>8231.32</v>
      </c>
      <c r="O469" s="148">
        <f>N471</f>
        <v>8231.32</v>
      </c>
    </row>
    <row r="470" spans="1:15" hidden="1" outlineLevel="1" x14ac:dyDescent="0.25">
      <c r="A470" s="71"/>
      <c r="B470" s="71"/>
      <c r="C470" s="71" t="s">
        <v>301</v>
      </c>
      <c r="D470" s="71"/>
      <c r="E470" s="71"/>
      <c r="F470" s="123"/>
      <c r="G470" s="123"/>
      <c r="H470" s="123"/>
      <c r="I470" s="123"/>
      <c r="J470" s="123"/>
      <c r="K470" s="148">
        <f>K73</f>
        <v>4689.1899999999996</v>
      </c>
      <c r="L470" s="148"/>
      <c r="M470" s="148"/>
      <c r="N470" s="148"/>
      <c r="O470" s="148"/>
    </row>
    <row r="471" spans="1:15" hidden="1" outlineLevel="1" x14ac:dyDescent="0.25">
      <c r="A471" s="139"/>
      <c r="B471" s="139"/>
      <c r="C471" s="139" t="s">
        <v>314</v>
      </c>
      <c r="D471" s="139"/>
      <c r="E471" s="139"/>
      <c r="F471" s="140"/>
      <c r="G471" s="140"/>
      <c r="H471" s="140"/>
      <c r="I471" s="140"/>
      <c r="J471" s="213">
        <f t="shared" ref="J471:O471" si="47">J470+J469</f>
        <v>3542.13</v>
      </c>
      <c r="K471" s="157">
        <f t="shared" si="47"/>
        <v>8231.32</v>
      </c>
      <c r="L471" s="157">
        <f t="shared" si="47"/>
        <v>8231.32</v>
      </c>
      <c r="M471" s="157">
        <f t="shared" si="47"/>
        <v>8231.32</v>
      </c>
      <c r="N471" s="157">
        <f t="shared" si="47"/>
        <v>8231.32</v>
      </c>
      <c r="O471" s="157">
        <f t="shared" si="47"/>
        <v>8231.32</v>
      </c>
    </row>
    <row r="472" spans="1:15" hidden="1" outlineLevel="1" x14ac:dyDescent="0.25">
      <c r="A472" s="79"/>
      <c r="B472" s="79"/>
      <c r="C472" s="79"/>
      <c r="D472" s="79"/>
      <c r="E472" s="79"/>
      <c r="F472" s="119"/>
      <c r="G472" s="119"/>
      <c r="H472" s="119"/>
      <c r="I472" s="119"/>
      <c r="J472" s="119"/>
      <c r="K472" s="161"/>
      <c r="L472" s="161"/>
      <c r="M472" s="161"/>
      <c r="N472" s="161"/>
      <c r="O472" s="161"/>
    </row>
    <row r="473" spans="1:15" hidden="1" outlineLevel="1" x14ac:dyDescent="0.25">
      <c r="A473" s="79"/>
      <c r="B473" s="79"/>
      <c r="C473" s="79"/>
      <c r="D473" s="79"/>
      <c r="E473" s="79"/>
      <c r="F473" s="119"/>
      <c r="G473" s="119"/>
      <c r="H473" s="119"/>
      <c r="I473" s="119"/>
      <c r="J473" s="119"/>
      <c r="K473" s="161"/>
      <c r="L473" s="161"/>
      <c r="M473" s="161"/>
      <c r="N473" s="161"/>
      <c r="O473" s="161"/>
    </row>
    <row r="474" spans="1:15" hidden="1" outlineLevel="1" x14ac:dyDescent="0.25">
      <c r="A474" s="71"/>
      <c r="B474" s="72" t="s">
        <v>294</v>
      </c>
      <c r="C474" s="71"/>
      <c r="D474" s="71"/>
      <c r="E474" s="71"/>
      <c r="F474" s="123"/>
      <c r="G474" s="123"/>
      <c r="H474" s="123"/>
      <c r="I474" s="123"/>
      <c r="J474" s="123"/>
      <c r="K474" s="148"/>
      <c r="L474" s="148"/>
      <c r="M474" s="148"/>
      <c r="N474" s="148"/>
      <c r="O474" s="148"/>
    </row>
    <row r="475" spans="1:15" hidden="1" outlineLevel="1" x14ac:dyDescent="0.25">
      <c r="A475" s="71"/>
      <c r="B475" s="71"/>
      <c r="C475" s="71" t="s">
        <v>300</v>
      </c>
      <c r="D475" s="71"/>
      <c r="E475" s="71"/>
      <c r="F475" s="123"/>
      <c r="G475" s="123"/>
      <c r="H475" s="123"/>
      <c r="I475" s="123"/>
      <c r="J475" s="149">
        <v>9634.56</v>
      </c>
      <c r="K475" s="148">
        <f>J475</f>
        <v>9634.56</v>
      </c>
      <c r="L475" s="148">
        <f>K475</f>
        <v>9634.56</v>
      </c>
      <c r="M475" s="148">
        <f>L475</f>
        <v>9634.56</v>
      </c>
      <c r="N475" s="148">
        <f>M475</f>
        <v>9634.56</v>
      </c>
      <c r="O475" s="148">
        <f>N475</f>
        <v>9634.56</v>
      </c>
    </row>
    <row r="476" spans="1:15" hidden="1" outlineLevel="1" x14ac:dyDescent="0.25">
      <c r="A476" s="71"/>
      <c r="B476" s="71"/>
      <c r="C476" s="71"/>
      <c r="D476" s="71"/>
      <c r="E476" s="71"/>
      <c r="F476" s="123"/>
      <c r="G476" s="123"/>
      <c r="H476" s="123"/>
      <c r="I476" s="123"/>
      <c r="J476" s="123"/>
      <c r="K476" s="148"/>
      <c r="L476" s="148"/>
      <c r="M476" s="148"/>
      <c r="N476" s="148"/>
      <c r="O476" s="148"/>
    </row>
    <row r="477" spans="1:15" hidden="1" outlineLevel="1" x14ac:dyDescent="0.25">
      <c r="A477" s="71"/>
      <c r="B477" s="71"/>
      <c r="C477" s="71" t="s">
        <v>302</v>
      </c>
      <c r="D477" s="71"/>
      <c r="E477" s="71"/>
      <c r="F477" s="123"/>
      <c r="G477" s="123"/>
      <c r="H477" s="123"/>
      <c r="I477" s="123"/>
      <c r="J477" s="149">
        <v>4265.28</v>
      </c>
      <c r="K477" s="148">
        <f>J481</f>
        <v>5118.83</v>
      </c>
      <c r="L477" s="148">
        <f>K481</f>
        <v>8600.16</v>
      </c>
      <c r="M477" s="148">
        <f>L481</f>
        <v>8600.16</v>
      </c>
      <c r="N477" s="148">
        <f>M481</f>
        <v>8600.16</v>
      </c>
      <c r="O477" s="148">
        <f>N481</f>
        <v>8600.16</v>
      </c>
    </row>
    <row r="478" spans="1:15" hidden="1" outlineLevel="1" x14ac:dyDescent="0.25">
      <c r="A478" s="71"/>
      <c r="B478" s="71"/>
      <c r="C478" s="71" t="s">
        <v>164</v>
      </c>
      <c r="D478" s="71"/>
      <c r="E478" s="71"/>
      <c r="F478" s="123"/>
      <c r="G478" s="123"/>
      <c r="H478" s="123"/>
      <c r="I478" s="123"/>
      <c r="J478" s="123"/>
      <c r="K478" s="148">
        <f>K74</f>
        <v>3481.33</v>
      </c>
      <c r="L478" s="148"/>
      <c r="M478" s="148"/>
      <c r="N478" s="148"/>
      <c r="O478" s="148"/>
    </row>
    <row r="479" spans="1:15" hidden="1" outlineLevel="1" x14ac:dyDescent="0.25">
      <c r="A479" s="71"/>
      <c r="B479" s="71"/>
      <c r="C479" s="71" t="s">
        <v>156</v>
      </c>
      <c r="D479" s="71"/>
      <c r="E479" s="71"/>
      <c r="F479" s="123"/>
      <c r="G479" s="123"/>
      <c r="H479" s="123"/>
      <c r="I479" s="123"/>
      <c r="J479" s="149">
        <v>125.2</v>
      </c>
      <c r="K479" s="148"/>
      <c r="L479" s="148"/>
      <c r="M479" s="148"/>
      <c r="N479" s="148"/>
      <c r="O479" s="148"/>
    </row>
    <row r="480" spans="1:15" hidden="1" outlineLevel="1" x14ac:dyDescent="0.25">
      <c r="A480" s="71"/>
      <c r="B480" s="71"/>
      <c r="C480" s="71" t="s">
        <v>303</v>
      </c>
      <c r="D480" s="71"/>
      <c r="E480" s="71"/>
      <c r="F480" s="123"/>
      <c r="G480" s="123"/>
      <c r="H480" s="123"/>
      <c r="I480" s="123"/>
      <c r="J480" s="149">
        <v>728.35</v>
      </c>
      <c r="K480" s="148">
        <v>0</v>
      </c>
      <c r="L480" s="148">
        <v>0</v>
      </c>
      <c r="M480" s="148">
        <v>0</v>
      </c>
      <c r="N480" s="148">
        <v>0</v>
      </c>
      <c r="O480" s="148">
        <v>0</v>
      </c>
    </row>
    <row r="481" spans="1:15" hidden="1" outlineLevel="1" x14ac:dyDescent="0.25">
      <c r="A481" s="139"/>
      <c r="B481" s="139"/>
      <c r="C481" s="139" t="s">
        <v>304</v>
      </c>
      <c r="D481" s="139"/>
      <c r="E481" s="139"/>
      <c r="F481" s="140"/>
      <c r="G481" s="140"/>
      <c r="H481" s="140"/>
      <c r="I481" s="140"/>
      <c r="J481" s="140">
        <f t="shared" ref="J481:O481" si="48">SUM(J477:J480)</f>
        <v>5118.83</v>
      </c>
      <c r="K481" s="157">
        <f t="shared" si="48"/>
        <v>8600.16</v>
      </c>
      <c r="L481" s="157">
        <f t="shared" si="48"/>
        <v>8600.16</v>
      </c>
      <c r="M481" s="157">
        <f t="shared" si="48"/>
        <v>8600.16</v>
      </c>
      <c r="N481" s="157">
        <f t="shared" si="48"/>
        <v>8600.16</v>
      </c>
      <c r="O481" s="157">
        <f t="shared" si="48"/>
        <v>8600.16</v>
      </c>
    </row>
    <row r="482" spans="1:15" hidden="1" outlineLevel="1" x14ac:dyDescent="0.25">
      <c r="A482" s="71"/>
      <c r="B482" s="71"/>
      <c r="C482" s="71"/>
      <c r="D482" s="71"/>
      <c r="E482" s="71"/>
      <c r="F482" s="123"/>
      <c r="G482" s="123"/>
      <c r="H482" s="123"/>
      <c r="I482" s="123"/>
      <c r="J482" s="123"/>
      <c r="K482" s="148"/>
      <c r="L482" s="148"/>
      <c r="M482" s="148"/>
      <c r="N482" s="148"/>
      <c r="O482" s="148"/>
    </row>
    <row r="483" spans="1:15" hidden="1" outlineLevel="1" x14ac:dyDescent="0.25">
      <c r="A483" s="71"/>
      <c r="B483" s="71"/>
      <c r="C483" s="71" t="s">
        <v>305</v>
      </c>
      <c r="D483" s="71"/>
      <c r="E483" s="71"/>
      <c r="F483" s="123"/>
      <c r="G483" s="123"/>
      <c r="H483" s="123"/>
      <c r="I483" s="123"/>
      <c r="J483" s="149">
        <v>2060.1</v>
      </c>
      <c r="K483" s="148">
        <f>J486</f>
        <v>2770.39</v>
      </c>
      <c r="L483" s="148">
        <f>K486</f>
        <v>3199.9234527393278</v>
      </c>
      <c r="M483" s="148">
        <f>L486</f>
        <v>3921.5837577134444</v>
      </c>
      <c r="N483" s="148">
        <f>M486</f>
        <v>4643.2440626875614</v>
      </c>
      <c r="O483" s="148">
        <f>N486</f>
        <v>5364.9043676616784</v>
      </c>
    </row>
    <row r="484" spans="1:15" hidden="1" outlineLevel="1" x14ac:dyDescent="0.25">
      <c r="A484" s="71"/>
      <c r="B484" s="71"/>
      <c r="C484" s="71" t="s">
        <v>306</v>
      </c>
      <c r="D484" s="71"/>
      <c r="E484" s="71"/>
      <c r="F484" s="123"/>
      <c r="G484" s="123"/>
      <c r="H484" s="123"/>
      <c r="I484" s="123"/>
      <c r="J484" s="149">
        <v>357.91</v>
      </c>
      <c r="K484" s="148">
        <f>$J$488*K477</f>
        <v>429.53345273932786</v>
      </c>
      <c r="L484" s="148">
        <f>$J$488*L477</f>
        <v>721.66030497411668</v>
      </c>
      <c r="M484" s="148">
        <f>$J$488*M477</f>
        <v>721.66030497411668</v>
      </c>
      <c r="N484" s="148">
        <f>$J$488*N477</f>
        <v>721.66030497411668</v>
      </c>
      <c r="O484" s="148">
        <f>$J$488*O477</f>
        <v>721.66030497411668</v>
      </c>
    </row>
    <row r="485" spans="1:15" hidden="1" outlineLevel="1" x14ac:dyDescent="0.25">
      <c r="A485" s="71"/>
      <c r="B485" s="71"/>
      <c r="C485" s="71" t="s">
        <v>307</v>
      </c>
      <c r="D485" s="71"/>
      <c r="E485" s="71"/>
      <c r="F485" s="123"/>
      <c r="G485" s="123"/>
      <c r="H485" s="123"/>
      <c r="I485" s="123"/>
      <c r="J485" s="149">
        <v>352.38</v>
      </c>
      <c r="K485" s="148">
        <v>0</v>
      </c>
      <c r="L485" s="148">
        <v>0</v>
      </c>
      <c r="M485" s="148">
        <v>0</v>
      </c>
      <c r="N485" s="148">
        <v>0</v>
      </c>
      <c r="O485" s="148">
        <v>0</v>
      </c>
    </row>
    <row r="486" spans="1:15" hidden="1" outlineLevel="1" x14ac:dyDescent="0.25">
      <c r="A486" s="139"/>
      <c r="B486" s="139"/>
      <c r="C486" s="139" t="s">
        <v>308</v>
      </c>
      <c r="D486" s="139"/>
      <c r="E486" s="139"/>
      <c r="F486" s="140"/>
      <c r="G486" s="140"/>
      <c r="H486" s="140"/>
      <c r="I486" s="140"/>
      <c r="J486" s="140">
        <f t="shared" ref="J486:O486" si="49">SUM(J483:J485)</f>
        <v>2770.39</v>
      </c>
      <c r="K486" s="157">
        <f t="shared" si="49"/>
        <v>3199.9234527393278</v>
      </c>
      <c r="L486" s="157">
        <f t="shared" si="49"/>
        <v>3921.5837577134444</v>
      </c>
      <c r="M486" s="157">
        <f t="shared" si="49"/>
        <v>4643.2440626875614</v>
      </c>
      <c r="N486" s="157">
        <f t="shared" si="49"/>
        <v>5364.9043676616784</v>
      </c>
      <c r="O486" s="157">
        <f t="shared" si="49"/>
        <v>6086.5646726357954</v>
      </c>
    </row>
    <row r="487" spans="1:15" hidden="1" outlineLevel="1" x14ac:dyDescent="0.25">
      <c r="A487" s="79"/>
      <c r="B487" s="79"/>
      <c r="C487" s="79"/>
      <c r="D487" s="79"/>
      <c r="E487" s="79"/>
      <c r="F487" s="119"/>
      <c r="G487" s="119"/>
      <c r="H487" s="119"/>
      <c r="I487" s="119"/>
      <c r="J487" s="119"/>
      <c r="K487" s="161"/>
      <c r="L487" s="161"/>
      <c r="M487" s="161"/>
      <c r="N487" s="161"/>
      <c r="O487" s="161"/>
    </row>
    <row r="488" spans="1:15" hidden="1" outlineLevel="1" x14ac:dyDescent="0.25">
      <c r="A488" s="79"/>
      <c r="B488" s="79"/>
      <c r="C488" s="127" t="s">
        <v>310</v>
      </c>
      <c r="D488" s="79"/>
      <c r="E488" s="79"/>
      <c r="F488" s="119"/>
      <c r="G488" s="119"/>
      <c r="H488" s="119"/>
      <c r="I488" s="119"/>
      <c r="J488" s="214">
        <f>J484/J477</f>
        <v>8.3912427789031449E-2</v>
      </c>
      <c r="K488" s="161"/>
      <c r="L488" s="161"/>
      <c r="M488" s="161"/>
      <c r="N488" s="161"/>
      <c r="O488" s="161"/>
    </row>
    <row r="489" spans="1:15" hidden="1" outlineLevel="1" x14ac:dyDescent="0.25">
      <c r="A489" s="71"/>
      <c r="B489" s="71"/>
      <c r="C489" s="71"/>
      <c r="D489" s="71"/>
      <c r="E489" s="71"/>
      <c r="F489" s="123"/>
      <c r="G489" s="123"/>
      <c r="H489" s="123"/>
      <c r="I489" s="123"/>
      <c r="J489" s="123"/>
      <c r="K489" s="148"/>
      <c r="L489" s="148"/>
      <c r="M489" s="148"/>
      <c r="N489" s="148"/>
      <c r="O489" s="148"/>
    </row>
    <row r="490" spans="1:15" hidden="1" outlineLevel="1" x14ac:dyDescent="0.25">
      <c r="A490" s="139"/>
      <c r="B490" s="139"/>
      <c r="C490" s="139" t="s">
        <v>309</v>
      </c>
      <c r="D490" s="139"/>
      <c r="E490" s="139"/>
      <c r="F490" s="140"/>
      <c r="G490" s="140"/>
      <c r="H490" s="140"/>
      <c r="I490" s="140"/>
      <c r="J490" s="140">
        <f t="shared" ref="J490:O490" si="50">J481-J486</f>
        <v>2348.44</v>
      </c>
      <c r="K490" s="157">
        <f t="shared" si="50"/>
        <v>5400.2365472606725</v>
      </c>
      <c r="L490" s="157">
        <f t="shared" si="50"/>
        <v>4678.5762422865555</v>
      </c>
      <c r="M490" s="157">
        <f t="shared" si="50"/>
        <v>3956.9159373124385</v>
      </c>
      <c r="N490" s="157">
        <f t="shared" si="50"/>
        <v>3235.2556323383214</v>
      </c>
      <c r="O490" s="157">
        <f t="shared" si="50"/>
        <v>2513.5953273642044</v>
      </c>
    </row>
    <row r="491" spans="1:15" hidden="1" outlineLevel="1" x14ac:dyDescent="0.25">
      <c r="A491" s="71"/>
      <c r="B491" s="71"/>
      <c r="C491" s="71"/>
      <c r="D491" s="71"/>
      <c r="E491" s="71"/>
      <c r="F491" s="123"/>
      <c r="G491" s="123"/>
      <c r="H491" s="123"/>
      <c r="I491" s="123"/>
      <c r="J491" s="123">
        <f>J178-J490-J475</f>
        <v>44.829999999999927</v>
      </c>
      <c r="K491" s="148">
        <f>J491</f>
        <v>44.829999999999927</v>
      </c>
      <c r="L491" s="148">
        <f>K491</f>
        <v>44.829999999999927</v>
      </c>
      <c r="M491" s="148">
        <f>L491</f>
        <v>44.829999999999927</v>
      </c>
      <c r="N491" s="148">
        <f>M491</f>
        <v>44.829999999999927</v>
      </c>
      <c r="O491" s="148">
        <f>N491</f>
        <v>44.829999999999927</v>
      </c>
    </row>
    <row r="492" spans="1:15" hidden="1" outlineLevel="1" x14ac:dyDescent="0.25">
      <c r="A492" s="71"/>
      <c r="B492" s="71"/>
      <c r="C492" s="72" t="s">
        <v>313</v>
      </c>
      <c r="D492" s="71"/>
      <c r="E492" s="71"/>
      <c r="F492" s="123"/>
      <c r="G492" s="123"/>
      <c r="H492" s="123"/>
      <c r="I492" s="123"/>
      <c r="J492" s="123"/>
      <c r="K492" s="148">
        <f>K490+K475+K491</f>
        <v>15079.626547260672</v>
      </c>
      <c r="L492" s="148">
        <f>L490+L475+L491</f>
        <v>14357.966242286555</v>
      </c>
      <c r="M492" s="148">
        <f>M490+M475+M491</f>
        <v>13636.305937312438</v>
      </c>
      <c r="N492" s="148">
        <f>N490+N475+N491</f>
        <v>12914.645632338321</v>
      </c>
      <c r="O492" s="148">
        <f>O490+O475+O491</f>
        <v>12192.985327364204</v>
      </c>
    </row>
    <row r="493" spans="1:15" hidden="1" outlineLevel="1" x14ac:dyDescent="0.25">
      <c r="A493" s="71"/>
      <c r="B493" s="71"/>
      <c r="C493" s="72"/>
      <c r="D493" s="71"/>
      <c r="E493" s="71"/>
      <c r="F493" s="123"/>
      <c r="G493" s="123"/>
      <c r="H493" s="123"/>
      <c r="I493" s="123"/>
      <c r="J493" s="123"/>
      <c r="K493" s="148"/>
      <c r="L493" s="148"/>
      <c r="M493" s="148"/>
      <c r="N493" s="148"/>
      <c r="O493" s="148"/>
    </row>
    <row r="494" spans="1:15" hidden="1" outlineLevel="1" x14ac:dyDescent="0.25">
      <c r="A494" s="71"/>
      <c r="B494" s="71"/>
      <c r="C494" s="72" t="s">
        <v>318</v>
      </c>
      <c r="D494" s="71"/>
      <c r="E494" s="71"/>
      <c r="F494" s="123"/>
      <c r="G494" s="123"/>
      <c r="H494" s="123"/>
      <c r="I494" s="123"/>
      <c r="J494" s="123"/>
      <c r="K494" s="148">
        <f>K484+K467</f>
        <v>1602.0834527393279</v>
      </c>
      <c r="L494" s="148">
        <f>L484+L467</f>
        <v>1894.2103049741168</v>
      </c>
      <c r="M494" s="148">
        <f>M484+M467</f>
        <v>1894.2103049741168</v>
      </c>
      <c r="N494" s="148">
        <f>N484+N467</f>
        <v>1894.2103049741168</v>
      </c>
      <c r="O494" s="148">
        <f>O484+O467</f>
        <v>1894.2103049741168</v>
      </c>
    </row>
    <row r="495" spans="1:15" hidden="1" outlineLevel="1" x14ac:dyDescent="0.25">
      <c r="A495" s="71"/>
      <c r="B495" s="71"/>
      <c r="C495" s="72" t="s">
        <v>312</v>
      </c>
      <c r="D495" s="71"/>
      <c r="E495" s="71"/>
      <c r="F495" s="123"/>
      <c r="G495" s="123"/>
      <c r="H495" s="123"/>
      <c r="I495" s="123"/>
      <c r="J495" s="123"/>
      <c r="K495" s="148">
        <f>K484+K447+K406</f>
        <v>14704.662885656167</v>
      </c>
      <c r="L495" s="148">
        <f>L484+L447+L406</f>
        <v>15918.178035509047</v>
      </c>
      <c r="M495" s="148">
        <f>M484+M447+M406</f>
        <v>16898.660334740984</v>
      </c>
      <c r="N495" s="148">
        <f>N484+N447+N406</f>
        <v>17977.560036658579</v>
      </c>
      <c r="O495" s="148">
        <f>O484+O447+O406</f>
        <v>19148.929745904767</v>
      </c>
    </row>
    <row r="496" spans="1:15" hidden="1" outlineLevel="1" x14ac:dyDescent="0.25">
      <c r="A496" s="71"/>
      <c r="B496" s="71"/>
      <c r="C496" s="71"/>
      <c r="D496" s="71"/>
      <c r="E496" s="71"/>
      <c r="F496" s="123"/>
      <c r="G496" s="123"/>
      <c r="H496" s="123"/>
      <c r="I496" s="123"/>
      <c r="J496" s="123"/>
      <c r="K496" s="148"/>
      <c r="L496" s="148"/>
      <c r="M496" s="148"/>
      <c r="N496" s="148"/>
      <c r="O496" s="148"/>
    </row>
    <row r="497" spans="1:15" hidden="1" outlineLevel="1" x14ac:dyDescent="0.25">
      <c r="A497" s="71"/>
      <c r="B497" s="72" t="s">
        <v>350</v>
      </c>
      <c r="C497" s="71"/>
      <c r="D497" s="71"/>
      <c r="E497" s="71"/>
      <c r="F497" s="123"/>
      <c r="G497" s="123"/>
      <c r="H497" s="123"/>
      <c r="I497" s="123"/>
      <c r="J497" s="123"/>
      <c r="K497" s="148"/>
      <c r="L497" s="148"/>
      <c r="M497" s="148"/>
      <c r="N497" s="148"/>
      <c r="O497" s="148"/>
    </row>
    <row r="498" spans="1:15" hidden="1" outlineLevel="1" x14ac:dyDescent="0.25">
      <c r="A498" s="71"/>
      <c r="B498" s="71"/>
      <c r="C498" s="71" t="s">
        <v>100</v>
      </c>
      <c r="D498" s="71"/>
      <c r="E498" s="71"/>
      <c r="F498" s="123"/>
      <c r="G498" s="123"/>
      <c r="H498" s="123"/>
      <c r="I498" s="123"/>
      <c r="J498" s="123">
        <f>J205</f>
        <v>8100.11</v>
      </c>
      <c r="K498" s="148">
        <f>J498*(1+K461)</f>
        <v>9734.9086165008284</v>
      </c>
      <c r="L498" s="148">
        <f>K498*(1+L461)</f>
        <v>11097.434937010938</v>
      </c>
      <c r="M498" s="148">
        <f>L498*(1+M461)</f>
        <v>12696.771591939976</v>
      </c>
      <c r="N498" s="148">
        <f>M498*(1+N461)</f>
        <v>14576.89349412002</v>
      </c>
      <c r="O498" s="148">
        <f>N498*(1+O461)</f>
        <v>16743.435368780145</v>
      </c>
    </row>
    <row r="499" spans="1:15" hidden="1" outlineLevel="1" x14ac:dyDescent="0.25">
      <c r="A499" s="71"/>
      <c r="B499" s="71"/>
      <c r="C499" s="71"/>
      <c r="D499" s="71"/>
      <c r="E499" s="71"/>
      <c r="F499" s="123"/>
      <c r="G499" s="123"/>
      <c r="H499" s="123"/>
      <c r="I499" s="123"/>
      <c r="J499" s="123"/>
      <c r="K499" s="148"/>
      <c r="L499" s="148"/>
      <c r="M499" s="148"/>
      <c r="N499" s="148"/>
      <c r="O499" s="148"/>
    </row>
    <row r="500" spans="1:15" hidden="1" outlineLevel="1" x14ac:dyDescent="0.25">
      <c r="A500" s="71"/>
      <c r="B500" s="71"/>
      <c r="C500" s="71" t="s">
        <v>351</v>
      </c>
      <c r="D500" s="71"/>
      <c r="E500" s="71"/>
      <c r="F500" s="123"/>
      <c r="G500" s="123"/>
      <c r="H500" s="123"/>
      <c r="I500" s="123"/>
      <c r="J500" s="123"/>
      <c r="K500" s="148">
        <f>J465-K465</f>
        <v>-658.34060859604097</v>
      </c>
      <c r="L500" s="148">
        <f>K465-L465</f>
        <v>-548.69535490110002</v>
      </c>
      <c r="M500" s="148">
        <f>L465-M465</f>
        <v>-644.059920364758</v>
      </c>
      <c r="N500" s="148">
        <f>M465-N465</f>
        <v>-757.13337705490358</v>
      </c>
      <c r="O500" s="148">
        <f>N465-O465</f>
        <v>-872.47596243107637</v>
      </c>
    </row>
    <row r="501" spans="1:15" hidden="1" outlineLevel="1" x14ac:dyDescent="0.25">
      <c r="A501" s="71"/>
      <c r="B501" s="71"/>
      <c r="C501" s="71" t="s">
        <v>352</v>
      </c>
      <c r="D501" s="71"/>
      <c r="E501" s="71"/>
      <c r="F501" s="123"/>
      <c r="G501" s="123"/>
      <c r="H501" s="123"/>
      <c r="I501" s="123"/>
      <c r="J501" s="123"/>
      <c r="K501" s="148">
        <f>K498-J498</f>
        <v>1634.7986165008288</v>
      </c>
      <c r="L501" s="148">
        <f>L498-K498</f>
        <v>1362.5263205101091</v>
      </c>
      <c r="M501" s="148">
        <f>M498-L498</f>
        <v>1599.3366549290386</v>
      </c>
      <c r="N501" s="148">
        <f>N498-M498</f>
        <v>1880.1219021800443</v>
      </c>
      <c r="O501" s="148">
        <f>O498-N498</f>
        <v>2166.5418746601244</v>
      </c>
    </row>
    <row r="502" spans="1:15" hidden="1" outlineLevel="1" x14ac:dyDescent="0.25">
      <c r="A502" s="139"/>
      <c r="B502" s="139"/>
      <c r="C502" s="139" t="s">
        <v>40</v>
      </c>
      <c r="D502" s="139"/>
      <c r="E502" s="139"/>
      <c r="F502" s="140"/>
      <c r="G502" s="140"/>
      <c r="H502" s="140"/>
      <c r="I502" s="140"/>
      <c r="J502" s="140"/>
      <c r="K502" s="157">
        <f>K501+K500</f>
        <v>976.45800790478779</v>
      </c>
      <c r="L502" s="157">
        <f>L501+L500</f>
        <v>813.83096560900913</v>
      </c>
      <c r="M502" s="157">
        <f>M501+M500</f>
        <v>955.27673456428056</v>
      </c>
      <c r="N502" s="157">
        <f>N501+N500</f>
        <v>1122.9885251251408</v>
      </c>
      <c r="O502" s="157">
        <f>O501+O500</f>
        <v>1294.0659122290481</v>
      </c>
    </row>
    <row r="503" spans="1:15" hidden="1" outlineLevel="1" x14ac:dyDescent="0.25">
      <c r="A503" s="71"/>
      <c r="B503" s="71"/>
      <c r="C503" s="71"/>
      <c r="D503" s="71"/>
      <c r="E503" s="71"/>
      <c r="F503" s="123"/>
      <c r="G503" s="123"/>
      <c r="H503" s="123"/>
      <c r="I503" s="123"/>
      <c r="J503" s="123"/>
      <c r="K503" s="148"/>
      <c r="L503" s="148"/>
      <c r="M503" s="148"/>
      <c r="N503" s="148"/>
      <c r="O503" s="148"/>
    </row>
    <row r="504" spans="1:15" collapsed="1" x14ac:dyDescent="0.25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</row>
    <row r="505" spans="1:15" ht="25.5" x14ac:dyDescent="0.35">
      <c r="A505" s="142" t="s">
        <v>353</v>
      </c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5"/>
    </row>
    <row r="506" spans="1:15" hidden="1" outlineLevel="1" x14ac:dyDescent="0.25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</row>
    <row r="507" spans="1:15" hidden="1" outlineLevel="1" x14ac:dyDescent="0.25">
      <c r="A507" s="144" t="s">
        <v>155</v>
      </c>
      <c r="B507" s="86"/>
      <c r="C507" s="86"/>
      <c r="D507" s="86"/>
      <c r="E507" s="86"/>
      <c r="F507" s="145">
        <f>G507-1</f>
        <v>2021</v>
      </c>
      <c r="G507" s="145">
        <f>H507-1</f>
        <v>2022</v>
      </c>
      <c r="H507" s="145">
        <f>I507-1</f>
        <v>2023</v>
      </c>
      <c r="I507" s="145">
        <f>J507-1</f>
        <v>2024</v>
      </c>
      <c r="J507" s="145">
        <f>K507-1</f>
        <v>2025</v>
      </c>
      <c r="K507" s="146">
        <f>K$82</f>
        <v>2026</v>
      </c>
      <c r="L507" s="146">
        <f>L$82</f>
        <v>2027</v>
      </c>
      <c r="M507" s="146">
        <f>M$82</f>
        <v>2028</v>
      </c>
      <c r="N507" s="146">
        <f>N$82</f>
        <v>2029</v>
      </c>
      <c r="O507" s="146">
        <f>O$82</f>
        <v>2030</v>
      </c>
    </row>
    <row r="508" spans="1:15" hidden="1" outlineLevel="1" x14ac:dyDescent="0.25">
      <c r="A508" s="71"/>
      <c r="B508" s="71" t="s">
        <v>353</v>
      </c>
      <c r="C508" s="71"/>
      <c r="D508" s="71"/>
      <c r="E508" s="71"/>
      <c r="F508" s="71"/>
      <c r="G508" s="71"/>
      <c r="H508" s="71"/>
      <c r="I508" s="71"/>
      <c r="J508" s="71"/>
      <c r="K508" s="147"/>
      <c r="L508" s="147"/>
      <c r="M508" s="147"/>
      <c r="N508" s="147"/>
      <c r="O508" s="147"/>
    </row>
    <row r="509" spans="1:15" hidden="1" outlineLevel="1" x14ac:dyDescent="0.25">
      <c r="A509" s="71"/>
      <c r="B509" s="71"/>
      <c r="C509" s="71" t="s">
        <v>354</v>
      </c>
      <c r="D509" s="71"/>
      <c r="E509" s="71"/>
      <c r="F509" s="183">
        <f>-F142</f>
        <v>1242.28</v>
      </c>
      <c r="G509" s="183">
        <f>-G142</f>
        <v>3733.29</v>
      </c>
      <c r="H509" s="183">
        <f>-H142</f>
        <v>6679.39</v>
      </c>
      <c r="I509" s="183">
        <f>-I142</f>
        <v>7275.66</v>
      </c>
      <c r="J509" s="183">
        <f>-J142</f>
        <v>8881.51</v>
      </c>
      <c r="K509" s="147"/>
      <c r="L509" s="147"/>
      <c r="M509" s="147"/>
      <c r="N509" s="147"/>
      <c r="O509" s="147"/>
    </row>
    <row r="510" spans="1:15" hidden="1" outlineLevel="1" x14ac:dyDescent="0.25">
      <c r="A510" s="71"/>
      <c r="B510" s="71"/>
      <c r="C510" s="71" t="s">
        <v>355</v>
      </c>
      <c r="D510" s="71"/>
      <c r="E510" s="71"/>
      <c r="F510" s="183">
        <f>-F105</f>
        <v>2605.56</v>
      </c>
      <c r="G510" s="183">
        <f>-G105</f>
        <v>4735.2299999999996</v>
      </c>
      <c r="H510" s="183">
        <f>-H105</f>
        <v>6375.47</v>
      </c>
      <c r="I510" s="183">
        <f>-I105</f>
        <v>7988.04</v>
      </c>
      <c r="J510" s="183">
        <f>-J105</f>
        <v>9476.06</v>
      </c>
      <c r="K510" s="147"/>
      <c r="L510" s="147"/>
      <c r="M510" s="147"/>
      <c r="N510" s="147"/>
      <c r="O510" s="147"/>
    </row>
    <row r="511" spans="1:15" hidden="1" outlineLevel="1" x14ac:dyDescent="0.25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147"/>
      <c r="L511" s="147"/>
      <c r="M511" s="147"/>
      <c r="N511" s="147"/>
      <c r="O511" s="147"/>
    </row>
    <row r="512" spans="1:15" hidden="1" outlineLevel="1" x14ac:dyDescent="0.25">
      <c r="A512" s="71"/>
      <c r="B512" s="71"/>
      <c r="C512" s="71" t="s">
        <v>356</v>
      </c>
      <c r="D512" s="71"/>
      <c r="E512" s="71"/>
      <c r="F512" s="183">
        <f t="shared" ref="F512:O512" si="51">F104</f>
        <v>10066.080000000002</v>
      </c>
      <c r="G512" s="183">
        <f t="shared" si="51"/>
        <v>20236.369999999963</v>
      </c>
      <c r="H512" s="183">
        <f t="shared" si="51"/>
        <v>27393.599999999984</v>
      </c>
      <c r="I512" s="183">
        <f t="shared" si="51"/>
        <v>34330.889999999985</v>
      </c>
      <c r="J512" s="183">
        <f t="shared" si="51"/>
        <v>40096.480000000032</v>
      </c>
      <c r="K512" s="181">
        <f t="shared" ca="1" si="51"/>
        <v>39058.600637229363</v>
      </c>
      <c r="L512" s="181">
        <f t="shared" ca="1" si="51"/>
        <v>46418.888748884085</v>
      </c>
      <c r="M512" s="181">
        <f t="shared" ca="1" si="51"/>
        <v>55885.570328251284</v>
      </c>
      <c r="N512" s="181">
        <f t="shared" ca="1" si="51"/>
        <v>67170.054954532592</v>
      </c>
      <c r="O512" s="181">
        <f t="shared" ca="1" si="51"/>
        <v>80354.552363848081</v>
      </c>
    </row>
    <row r="513" spans="1:15" hidden="1" outlineLevel="1" x14ac:dyDescent="0.25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147"/>
      <c r="L513" s="147"/>
      <c r="M513" s="147"/>
      <c r="N513" s="147"/>
      <c r="O513" s="147"/>
    </row>
    <row r="514" spans="1:15" hidden="1" outlineLevel="1" x14ac:dyDescent="0.25">
      <c r="A514" s="71"/>
      <c r="B514" s="71"/>
      <c r="C514" s="71" t="s">
        <v>357</v>
      </c>
      <c r="D514" s="71"/>
      <c r="E514" s="71"/>
      <c r="F514" s="184">
        <f>F509/F512</f>
        <v>0.12341249026433326</v>
      </c>
      <c r="G514" s="184">
        <f>G509/G512</f>
        <v>0.18448417379203913</v>
      </c>
      <c r="H514" s="184">
        <f>H509/H512</f>
        <v>0.24383031072951361</v>
      </c>
      <c r="I514" s="184">
        <f>I509/I512</f>
        <v>0.21192750901593296</v>
      </c>
      <c r="J514" s="184">
        <f>J509/J512</f>
        <v>0.2215034835975625</v>
      </c>
      <c r="K514" s="147"/>
      <c r="L514" s="147"/>
      <c r="M514" s="147"/>
      <c r="N514" s="147"/>
      <c r="O514" s="147"/>
    </row>
    <row r="515" spans="1:15" hidden="1" outlineLevel="1" x14ac:dyDescent="0.25">
      <c r="A515" s="71"/>
      <c r="B515" s="71"/>
      <c r="C515" s="71" t="s">
        <v>359</v>
      </c>
      <c r="D515" s="71"/>
      <c r="E515" s="71"/>
      <c r="F515" s="71"/>
      <c r="G515" s="71"/>
      <c r="H515" s="71"/>
      <c r="I515" s="71"/>
      <c r="J515" s="122">
        <f>AVERAGE(H514:J514)</f>
        <v>0.22575376778100301</v>
      </c>
      <c r="K515" s="147"/>
      <c r="L515" s="147"/>
      <c r="M515" s="147"/>
      <c r="N515" s="147"/>
      <c r="O515" s="147"/>
    </row>
    <row r="516" spans="1:15" hidden="1" outlineLevel="1" x14ac:dyDescent="0.25">
      <c r="A516" s="71"/>
      <c r="B516" s="71"/>
      <c r="C516" s="71" t="s">
        <v>358</v>
      </c>
      <c r="D516" s="71"/>
      <c r="E516" s="71"/>
      <c r="F516" s="184">
        <f>F510/F512</f>
        <v>0.25884554861475367</v>
      </c>
      <c r="G516" s="184">
        <f>G510/G512</f>
        <v>0.23399601806055179</v>
      </c>
      <c r="H516" s="184">
        <f>H510/H512</f>
        <v>0.23273574849599921</v>
      </c>
      <c r="I516" s="184">
        <f>I510/I512</f>
        <v>0.23267791775861341</v>
      </c>
      <c r="J516" s="184">
        <f>J510/J512</f>
        <v>0.23633146849798267</v>
      </c>
      <c r="K516" s="147"/>
      <c r="L516" s="147"/>
      <c r="M516" s="147"/>
      <c r="N516" s="147"/>
      <c r="O516" s="147"/>
    </row>
    <row r="517" spans="1:15" hidden="1" outlineLevel="1" x14ac:dyDescent="0.25">
      <c r="A517" s="71"/>
      <c r="B517" s="71"/>
      <c r="C517" s="71" t="s">
        <v>359</v>
      </c>
      <c r="D517" s="71"/>
      <c r="E517" s="71"/>
      <c r="F517" s="71"/>
      <c r="G517" s="71"/>
      <c r="H517" s="71"/>
      <c r="I517" s="71"/>
      <c r="J517" s="122">
        <f>AVERAGE(H516:J516)</f>
        <v>0.23391504491753176</v>
      </c>
      <c r="K517" s="215">
        <f>J517</f>
        <v>0.23391504491753176</v>
      </c>
      <c r="L517" s="215">
        <f>K517</f>
        <v>0.23391504491753176</v>
      </c>
      <c r="M517" s="215">
        <f>L517</f>
        <v>0.23391504491753176</v>
      </c>
      <c r="N517" s="215">
        <f>M517</f>
        <v>0.23391504491753176</v>
      </c>
      <c r="O517" s="215">
        <f>N517</f>
        <v>0.23391504491753176</v>
      </c>
    </row>
    <row r="518" spans="1:15" hidden="1" outlineLevel="1" x14ac:dyDescent="0.25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147"/>
      <c r="L518" s="147"/>
      <c r="M518" s="147"/>
      <c r="N518" s="147"/>
      <c r="O518" s="147"/>
    </row>
    <row r="519" spans="1:15" hidden="1" outlineLevel="1" x14ac:dyDescent="0.25">
      <c r="A519" s="71"/>
      <c r="B519" s="71"/>
      <c r="C519" s="72" t="s">
        <v>360</v>
      </c>
      <c r="D519" s="71"/>
      <c r="E519" s="71"/>
      <c r="F519" s="71"/>
      <c r="G519" s="71"/>
      <c r="H519" s="71"/>
      <c r="I519" s="71"/>
      <c r="J519" s="71"/>
      <c r="K519" s="181">
        <f ca="1">K512*K517</f>
        <v>9136.3943224734412</v>
      </c>
      <c r="L519" s="181">
        <f ca="1">L512*L517</f>
        <v>10858.07644671713</v>
      </c>
      <c r="M519" s="181">
        <f ca="1">M512*M517</f>
        <v>13072.475693574779</v>
      </c>
      <c r="N519" s="181">
        <f ca="1">N512*N517</f>
        <v>15712.086421802569</v>
      </c>
      <c r="O519" s="181">
        <f ca="1">O512*O517</f>
        <v>18796.138725517681</v>
      </c>
    </row>
    <row r="520" spans="1:15" hidden="1" outlineLevel="1" x14ac:dyDescent="0.25">
      <c r="A520" s="71"/>
      <c r="B520" s="71"/>
      <c r="C520" s="72"/>
      <c r="D520" s="71"/>
      <c r="E520" s="71"/>
      <c r="F520" s="71"/>
      <c r="G520" s="71"/>
      <c r="H520" s="71"/>
      <c r="I520" s="71"/>
      <c r="J520" s="71"/>
      <c r="K520" s="147"/>
      <c r="L520" s="147"/>
      <c r="M520" s="147"/>
      <c r="N520" s="147"/>
      <c r="O520" s="147"/>
    </row>
    <row r="521" spans="1:15" hidden="1" outlineLevel="1" x14ac:dyDescent="0.25">
      <c r="A521" s="71"/>
      <c r="B521" s="71"/>
      <c r="C521" s="71" t="s">
        <v>129</v>
      </c>
      <c r="D521" s="71"/>
      <c r="E521" s="71"/>
      <c r="F521" s="71"/>
      <c r="G521" s="71"/>
      <c r="H521" s="71"/>
      <c r="I521" s="71"/>
      <c r="J521" s="183">
        <f t="shared" ref="J521:O521" si="52">J87</f>
        <v>216853.79</v>
      </c>
      <c r="K521" s="181">
        <f t="shared" si="52"/>
        <v>260620.14328100003</v>
      </c>
      <c r="L521" s="181">
        <f t="shared" si="52"/>
        <v>297097.30181062146</v>
      </c>
      <c r="M521" s="181">
        <f t="shared" si="52"/>
        <v>339914.27776616823</v>
      </c>
      <c r="N521" s="181">
        <f t="shared" si="52"/>
        <v>390248.35472928995</v>
      </c>
      <c r="O521" s="181">
        <f t="shared" si="52"/>
        <v>448250.38392565306</v>
      </c>
    </row>
    <row r="522" spans="1:15" hidden="1" outlineLevel="1" x14ac:dyDescent="0.25">
      <c r="A522" s="71"/>
      <c r="B522" s="71"/>
      <c r="C522" s="71" t="s">
        <v>348</v>
      </c>
      <c r="D522" s="71"/>
      <c r="E522" s="71"/>
      <c r="F522" s="71"/>
      <c r="G522" s="71"/>
      <c r="H522" s="71"/>
      <c r="I522" s="71"/>
      <c r="J522" s="71"/>
      <c r="K522" s="189">
        <f>K521/J521-1</f>
        <v>0.2018242488683275</v>
      </c>
      <c r="L522" s="189">
        <f>L521/K521-1</f>
        <v>0.13996292869155491</v>
      </c>
      <c r="M522" s="189">
        <f>M521/L521-1</f>
        <v>0.14411768701568217</v>
      </c>
      <c r="N522" s="189">
        <f>N521/M521-1</f>
        <v>0.14807873706837116</v>
      </c>
      <c r="O522" s="189">
        <f>O521/N521-1</f>
        <v>0.14862850411399764</v>
      </c>
    </row>
    <row r="523" spans="1:15" hidden="1" outlineLevel="1" x14ac:dyDescent="0.25">
      <c r="A523" s="71"/>
      <c r="B523" s="71"/>
      <c r="C523" s="71"/>
      <c r="D523" s="71"/>
      <c r="E523" s="71"/>
      <c r="F523" s="123"/>
      <c r="G523" s="123"/>
      <c r="H523" s="123"/>
      <c r="I523" s="123"/>
      <c r="J523" s="123"/>
      <c r="K523" s="148"/>
      <c r="L523" s="148"/>
      <c r="M523" s="148"/>
      <c r="N523" s="148"/>
      <c r="O523" s="148"/>
    </row>
    <row r="524" spans="1:15" hidden="1" outlineLevel="1" x14ac:dyDescent="0.25">
      <c r="A524" s="71"/>
      <c r="B524" s="71"/>
      <c r="C524" s="71" t="s">
        <v>361</v>
      </c>
      <c r="D524" s="71"/>
      <c r="E524" s="71"/>
      <c r="F524" s="123"/>
      <c r="G524" s="123"/>
      <c r="H524" s="123"/>
      <c r="I524" s="123"/>
      <c r="J524" s="149">
        <v>244.4</v>
      </c>
      <c r="K524" s="148">
        <f>J524*(1+K522)</f>
        <v>293.72584642341923</v>
      </c>
      <c r="L524" s="148">
        <f>K524*(1+L522)</f>
        <v>334.83657612124688</v>
      </c>
      <c r="M524" s="148">
        <f>L524*(1+M522)</f>
        <v>383.09244900009139</v>
      </c>
      <c r="N524" s="148">
        <f>M524*(1+N522)</f>
        <v>439.82029502845432</v>
      </c>
      <c r="O524" s="148">
        <f>N524*(1+O522)</f>
        <v>505.19012755751061</v>
      </c>
    </row>
    <row r="525" spans="1:15" hidden="1" outlineLevel="1" x14ac:dyDescent="0.25">
      <c r="A525" s="71"/>
      <c r="B525" s="71"/>
      <c r="C525" s="71" t="s">
        <v>363</v>
      </c>
      <c r="D525" s="71"/>
      <c r="E525" s="71"/>
      <c r="F525" s="123"/>
      <c r="G525" s="123"/>
      <c r="H525" s="123"/>
      <c r="I525" s="123"/>
      <c r="J525" s="123"/>
      <c r="K525" s="148">
        <f>K524-J524</f>
        <v>49.325846423419222</v>
      </c>
      <c r="L525" s="148">
        <f>L524-K524</f>
        <v>41.110729697827651</v>
      </c>
      <c r="M525" s="148">
        <f>M524-L524</f>
        <v>48.255872878844514</v>
      </c>
      <c r="N525" s="148">
        <f>N524-M524</f>
        <v>56.727846028362933</v>
      </c>
      <c r="O525" s="148">
        <f>O524-N524</f>
        <v>65.369832529056282</v>
      </c>
    </row>
    <row r="526" spans="1:15" hidden="1" outlineLevel="1" x14ac:dyDescent="0.25">
      <c r="A526" s="71"/>
      <c r="B526" s="71"/>
      <c r="C526" s="71" t="s">
        <v>362</v>
      </c>
      <c r="D526" s="71"/>
      <c r="E526" s="71"/>
      <c r="F526" s="123"/>
      <c r="G526" s="123"/>
      <c r="H526" s="123"/>
      <c r="I526" s="123"/>
      <c r="J526" s="149">
        <v>6191.92</v>
      </c>
      <c r="K526" s="148">
        <f>J526*(1+K522)</f>
        <v>7441.5996030527749</v>
      </c>
      <c r="L526" s="148">
        <f>K526*(1+L522)</f>
        <v>8483.1476776459531</v>
      </c>
      <c r="M526" s="148">
        <f>L526*(1+M522)</f>
        <v>9705.7192995607438</v>
      </c>
      <c r="N526" s="148">
        <f>M526*(1+N522)</f>
        <v>11142.929955779815</v>
      </c>
      <c r="O526" s="148">
        <f>N526*(1+O522)</f>
        <v>12799.086966554423</v>
      </c>
    </row>
    <row r="527" spans="1:15" hidden="1" outlineLevel="1" x14ac:dyDescent="0.25">
      <c r="A527" s="71"/>
      <c r="B527" s="71"/>
      <c r="C527" s="71" t="s">
        <v>364</v>
      </c>
      <c r="D527" s="71"/>
      <c r="E527" s="71"/>
      <c r="F527" s="123"/>
      <c r="G527" s="123"/>
      <c r="H527" s="123"/>
      <c r="I527" s="123"/>
      <c r="J527" s="123"/>
      <c r="K527" s="148">
        <f>K526-J526</f>
        <v>1249.6796030527748</v>
      </c>
      <c r="L527" s="148">
        <f>L526-K526</f>
        <v>1041.5480745931782</v>
      </c>
      <c r="M527" s="148">
        <f>M526-L526</f>
        <v>1222.5716219147907</v>
      </c>
      <c r="N527" s="148">
        <f>N526-M526</f>
        <v>1437.2106562190711</v>
      </c>
      <c r="O527" s="148">
        <f>O526-N526</f>
        <v>1656.1570107746084</v>
      </c>
    </row>
    <row r="528" spans="1:15" hidden="1" outlineLevel="1" x14ac:dyDescent="0.25">
      <c r="A528" s="71"/>
      <c r="B528" s="71"/>
      <c r="C528" s="71"/>
      <c r="D528" s="71"/>
      <c r="E528" s="71"/>
      <c r="F528" s="123"/>
      <c r="G528" s="123"/>
      <c r="H528" s="123"/>
      <c r="I528" s="123"/>
      <c r="J528" s="123"/>
      <c r="K528" s="148"/>
      <c r="L528" s="148"/>
      <c r="M528" s="148"/>
      <c r="N528" s="148"/>
      <c r="O528" s="148"/>
    </row>
    <row r="529" spans="1:15" hidden="1" outlineLevel="1" x14ac:dyDescent="0.25">
      <c r="A529" s="71"/>
      <c r="B529" s="71"/>
      <c r="C529" s="71"/>
      <c r="D529" s="71"/>
      <c r="E529" s="71"/>
      <c r="F529" s="123"/>
      <c r="G529" s="123"/>
      <c r="H529" s="123"/>
      <c r="I529" s="123"/>
      <c r="J529" s="123"/>
      <c r="K529" s="160"/>
      <c r="L529" s="160"/>
      <c r="M529" s="160"/>
      <c r="N529" s="160"/>
      <c r="O529" s="160"/>
    </row>
    <row r="530" spans="1:15" collapsed="1" x14ac:dyDescent="0.25">
      <c r="A530" s="71"/>
      <c r="B530" s="71"/>
      <c r="C530" s="71"/>
      <c r="D530" s="71"/>
      <c r="E530" s="71"/>
      <c r="F530" s="123"/>
      <c r="G530" s="123"/>
      <c r="H530" s="123"/>
      <c r="I530" s="123"/>
      <c r="J530" s="123"/>
      <c r="K530" s="160"/>
      <c r="L530" s="160"/>
      <c r="M530" s="160"/>
      <c r="N530" s="160"/>
      <c r="O530" s="160"/>
    </row>
    <row r="531" spans="1:15" ht="25.5" x14ac:dyDescent="0.35">
      <c r="A531" s="142" t="s">
        <v>374</v>
      </c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5"/>
    </row>
    <row r="532" spans="1:15" hidden="1" outlineLevel="1" x14ac:dyDescent="0.25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</row>
    <row r="533" spans="1:15" hidden="1" outlineLevel="1" x14ac:dyDescent="0.25">
      <c r="A533" s="144" t="s">
        <v>155</v>
      </c>
      <c r="B533" s="86"/>
      <c r="C533" s="86"/>
      <c r="D533" s="86"/>
      <c r="E533" s="86"/>
      <c r="F533" s="145">
        <f>G533-1</f>
        <v>2021</v>
      </c>
      <c r="G533" s="145">
        <f>H533-1</f>
        <v>2022</v>
      </c>
      <c r="H533" s="145">
        <f>I533-1</f>
        <v>2023</v>
      </c>
      <c r="I533" s="145">
        <f>J533-1</f>
        <v>2024</v>
      </c>
      <c r="J533" s="145">
        <f>K533-1</f>
        <v>2025</v>
      </c>
      <c r="K533" s="146">
        <f>K$82</f>
        <v>2026</v>
      </c>
      <c r="L533" s="146">
        <f>L$82</f>
        <v>2027</v>
      </c>
      <c r="M533" s="146">
        <f>M$82</f>
        <v>2028</v>
      </c>
      <c r="N533" s="146">
        <f>N$82</f>
        <v>2029</v>
      </c>
      <c r="O533" s="146">
        <f>O$82</f>
        <v>2030</v>
      </c>
    </row>
    <row r="534" spans="1:15" hidden="1" outlineLevel="1" x14ac:dyDescent="0.25">
      <c r="A534" s="71"/>
      <c r="B534" s="71"/>
      <c r="C534" s="71"/>
      <c r="D534" s="71"/>
      <c r="E534" s="71"/>
      <c r="F534" s="123"/>
      <c r="G534" s="123"/>
      <c r="H534" s="123"/>
      <c r="I534" s="123"/>
      <c r="J534" s="123"/>
      <c r="K534" s="148"/>
      <c r="L534" s="148"/>
      <c r="M534" s="148"/>
      <c r="N534" s="148"/>
      <c r="O534" s="148"/>
    </row>
    <row r="535" spans="1:15" hidden="1" outlineLevel="1" x14ac:dyDescent="0.25">
      <c r="A535" s="71"/>
      <c r="B535" s="71"/>
      <c r="C535" s="71"/>
      <c r="D535" s="71"/>
      <c r="E535" s="71"/>
      <c r="F535" s="123"/>
      <c r="G535" s="123"/>
      <c r="H535" s="123"/>
      <c r="I535" s="123"/>
      <c r="J535" s="123"/>
      <c r="K535" s="148"/>
      <c r="L535" s="148"/>
      <c r="M535" s="148"/>
      <c r="N535" s="148"/>
      <c r="O535" s="148"/>
    </row>
    <row r="536" spans="1:15" hidden="1" outlineLevel="1" x14ac:dyDescent="0.25">
      <c r="A536" s="71"/>
      <c r="B536" s="71"/>
      <c r="C536" s="71"/>
      <c r="D536" s="71"/>
      <c r="E536" s="71"/>
      <c r="F536" s="123"/>
      <c r="G536" s="123"/>
      <c r="H536" s="123"/>
      <c r="I536" s="123"/>
      <c r="J536" s="123"/>
      <c r="K536" s="148"/>
      <c r="L536" s="148"/>
      <c r="M536" s="148"/>
      <c r="N536" s="148"/>
      <c r="O536" s="148"/>
    </row>
    <row r="537" spans="1:15" hidden="1" outlineLevel="1" x14ac:dyDescent="0.25">
      <c r="A537" s="71"/>
      <c r="B537" s="71"/>
      <c r="C537" s="71"/>
      <c r="D537" s="71"/>
      <c r="E537" s="71"/>
      <c r="F537" s="123"/>
      <c r="G537" s="123"/>
      <c r="H537" s="123"/>
      <c r="I537" s="123"/>
      <c r="J537" s="123"/>
      <c r="K537" s="148"/>
      <c r="L537" s="148"/>
      <c r="M537" s="148"/>
      <c r="N537" s="148"/>
      <c r="O537" s="148"/>
    </row>
    <row r="538" spans="1:15" hidden="1" outlineLevel="1" x14ac:dyDescent="0.25">
      <c r="A538" s="71"/>
      <c r="B538" s="71"/>
      <c r="C538" s="71"/>
      <c r="D538" s="71"/>
      <c r="E538" s="71"/>
      <c r="F538" s="123"/>
      <c r="G538" s="123"/>
      <c r="H538" s="123"/>
      <c r="I538" s="123"/>
      <c r="J538" s="123"/>
      <c r="K538" s="148"/>
      <c r="L538" s="148"/>
      <c r="M538" s="148"/>
      <c r="N538" s="148"/>
      <c r="O538" s="148"/>
    </row>
    <row r="539" spans="1:15" hidden="1" outlineLevel="1" x14ac:dyDescent="0.25">
      <c r="A539" s="71"/>
      <c r="B539" s="72" t="s">
        <v>365</v>
      </c>
      <c r="C539" s="71"/>
      <c r="D539" s="71"/>
      <c r="E539" s="71"/>
      <c r="F539" s="123"/>
      <c r="G539" s="123"/>
      <c r="H539" s="123"/>
      <c r="I539" s="123"/>
      <c r="J539" s="123"/>
      <c r="K539" s="148"/>
      <c r="L539" s="148"/>
      <c r="M539" s="148"/>
      <c r="N539" s="148"/>
      <c r="O539" s="148"/>
    </row>
    <row r="540" spans="1:15" hidden="1" outlineLevel="1" x14ac:dyDescent="0.25">
      <c r="A540" s="71"/>
      <c r="B540" s="71"/>
      <c r="C540" s="71" t="s">
        <v>366</v>
      </c>
      <c r="D540" s="71" t="s">
        <v>22</v>
      </c>
      <c r="E540" s="71"/>
      <c r="F540" s="216">
        <f>F111</f>
        <v>3246825</v>
      </c>
      <c r="G540" s="216">
        <f>G111</f>
        <v>3246825</v>
      </c>
      <c r="H540" s="216">
        <f>H111</f>
        <v>3246875</v>
      </c>
      <c r="I540" s="216">
        <f>I111</f>
        <v>3278350</v>
      </c>
      <c r="J540" s="216">
        <f>J111</f>
        <v>3381750</v>
      </c>
      <c r="K540" s="159">
        <f>J540</f>
        <v>3381750</v>
      </c>
      <c r="L540" s="159">
        <f>K540</f>
        <v>3381750</v>
      </c>
      <c r="M540" s="159">
        <f>L540</f>
        <v>3381750</v>
      </c>
      <c r="N540" s="159">
        <f>M540</f>
        <v>3381750</v>
      </c>
      <c r="O540" s="159">
        <f>N540</f>
        <v>3381750</v>
      </c>
    </row>
    <row r="541" spans="1:15" hidden="1" outlineLevel="1" x14ac:dyDescent="0.25">
      <c r="A541" s="71"/>
      <c r="B541" s="71"/>
      <c r="C541" s="71" t="s">
        <v>348</v>
      </c>
      <c r="D541" s="71"/>
      <c r="E541" s="71"/>
      <c r="F541" s="216"/>
      <c r="G541" s="184">
        <f>G540/F540-1</f>
        <v>0</v>
      </c>
      <c r="H541" s="184">
        <f>H540/G540-1</f>
        <v>1.539965966745882E-5</v>
      </c>
      <c r="I541" s="184">
        <f>I540/H540-1</f>
        <v>9.6939364773820369E-3</v>
      </c>
      <c r="J541" s="184">
        <f>J540/I540-1</f>
        <v>3.1540256531486843E-2</v>
      </c>
      <c r="K541" s="148"/>
      <c r="L541" s="148"/>
      <c r="M541" s="148"/>
      <c r="N541" s="148"/>
      <c r="O541" s="148"/>
    </row>
    <row r="542" spans="1:15" hidden="1" outlineLevel="1" x14ac:dyDescent="0.25">
      <c r="A542" s="71"/>
      <c r="B542" s="71"/>
      <c r="C542" s="71" t="s">
        <v>373</v>
      </c>
      <c r="D542" s="71"/>
      <c r="E542" s="71"/>
      <c r="F542" s="216"/>
      <c r="G542" s="184"/>
      <c r="H542" s="184"/>
      <c r="I542" s="184"/>
      <c r="J542" s="184">
        <f>AVERAGE(G541:J541)</f>
        <v>1.0312398167134085E-2</v>
      </c>
      <c r="K542" s="148"/>
      <c r="L542" s="148"/>
      <c r="M542" s="148"/>
      <c r="N542" s="148"/>
      <c r="O542" s="148"/>
    </row>
    <row r="543" spans="1:15" hidden="1" outlineLevel="1" x14ac:dyDescent="0.25">
      <c r="A543" s="71"/>
      <c r="B543" s="71"/>
      <c r="C543" s="71" t="s">
        <v>367</v>
      </c>
      <c r="D543" s="71" t="s">
        <v>22</v>
      </c>
      <c r="E543" s="71"/>
      <c r="F543" s="216">
        <f>F112</f>
        <v>3248500</v>
      </c>
      <c r="G543" s="216">
        <f>G112</f>
        <v>3248750</v>
      </c>
      <c r="H543" s="216">
        <f>H112</f>
        <v>3248928</v>
      </c>
      <c r="I543" s="216">
        <f>I112</f>
        <v>3280500</v>
      </c>
      <c r="J543" s="216">
        <f>J112</f>
        <v>3383500</v>
      </c>
      <c r="K543" s="159">
        <f>J543</f>
        <v>3383500</v>
      </c>
      <c r="L543" s="159">
        <f>K543</f>
        <v>3383500</v>
      </c>
      <c r="M543" s="159">
        <f>L543</f>
        <v>3383500</v>
      </c>
      <c r="N543" s="159">
        <f>M543</f>
        <v>3383500</v>
      </c>
      <c r="O543" s="159">
        <f>N543</f>
        <v>3383500</v>
      </c>
    </row>
    <row r="544" spans="1:15" hidden="1" outlineLevel="1" x14ac:dyDescent="0.25">
      <c r="A544" s="71"/>
      <c r="B544" s="71"/>
      <c r="C544" s="71" t="s">
        <v>348</v>
      </c>
      <c r="D544" s="71"/>
      <c r="E544" s="71"/>
      <c r="F544" s="123"/>
      <c r="G544" s="184">
        <f>G543/F543-1</f>
        <v>7.6958596275211733E-5</v>
      </c>
      <c r="H544" s="184">
        <f>H543/G543-1</f>
        <v>5.4790303963159204E-5</v>
      </c>
      <c r="I544" s="184">
        <f>I543/H543-1</f>
        <v>9.7176668735041716E-3</v>
      </c>
      <c r="J544" s="184">
        <f>J543/I543-1</f>
        <v>3.1397652796829822E-2</v>
      </c>
      <c r="K544" s="148"/>
      <c r="L544" s="148"/>
      <c r="M544" s="148"/>
      <c r="N544" s="148"/>
      <c r="O544" s="148"/>
    </row>
    <row r="545" spans="1:15" hidden="1" outlineLevel="1" x14ac:dyDescent="0.25">
      <c r="A545" s="71"/>
      <c r="B545" s="71"/>
      <c r="C545" s="71" t="s">
        <v>373</v>
      </c>
      <c r="D545" s="71"/>
      <c r="E545" s="71"/>
      <c r="F545" s="123"/>
      <c r="G545" s="184"/>
      <c r="H545" s="184"/>
      <c r="I545" s="184"/>
      <c r="J545" s="184">
        <f>AVERAGE(G544:J544)</f>
        <v>1.0311767142643091E-2</v>
      </c>
      <c r="K545" s="148"/>
      <c r="L545" s="148"/>
      <c r="M545" s="148"/>
      <c r="N545" s="148"/>
      <c r="O545" s="148"/>
    </row>
    <row r="546" spans="1:15" hidden="1" outlineLevel="1" x14ac:dyDescent="0.25">
      <c r="A546" s="71"/>
      <c r="B546" s="71"/>
      <c r="C546" s="71"/>
      <c r="D546" s="71"/>
      <c r="E546" s="71"/>
      <c r="F546" s="123"/>
      <c r="G546" s="123"/>
      <c r="H546" s="123"/>
      <c r="I546" s="123"/>
      <c r="J546" s="123"/>
      <c r="K546" s="148"/>
      <c r="L546" s="148"/>
      <c r="M546" s="148"/>
      <c r="N546" s="148"/>
      <c r="O546" s="148"/>
    </row>
    <row r="547" spans="1:15" hidden="1" outlineLevel="1" x14ac:dyDescent="0.25">
      <c r="A547" s="71"/>
      <c r="B547" s="71"/>
      <c r="C547" s="71" t="s">
        <v>368</v>
      </c>
      <c r="D547" s="71"/>
      <c r="E547" s="71"/>
      <c r="F547" s="123">
        <f>-F160</f>
        <v>1082.58</v>
      </c>
      <c r="G547" s="123">
        <f>-G160</f>
        <v>1623.87</v>
      </c>
      <c r="H547" s="123">
        <f>-H160</f>
        <v>2273.48</v>
      </c>
      <c r="I547" s="123">
        <f>-I160</f>
        <v>3248.2</v>
      </c>
      <c r="J547" s="123">
        <f>-J160</f>
        <v>5072.54</v>
      </c>
      <c r="K547" s="148"/>
      <c r="L547" s="148"/>
      <c r="M547" s="148"/>
      <c r="N547" s="148"/>
      <c r="O547" s="148"/>
    </row>
    <row r="548" spans="1:15" hidden="1" outlineLevel="1" x14ac:dyDescent="0.25">
      <c r="A548" s="71"/>
      <c r="B548" s="71"/>
      <c r="C548" s="71" t="s">
        <v>369</v>
      </c>
      <c r="D548" s="71"/>
      <c r="E548" s="71"/>
      <c r="F548" s="123">
        <f t="shared" ref="F548:O548" si="53">F108</f>
        <v>6940.5200000000023</v>
      </c>
      <c r="G548" s="123">
        <f t="shared" si="53"/>
        <v>14947.329999999964</v>
      </c>
      <c r="H548" s="123">
        <f t="shared" si="53"/>
        <v>20559.219999999983</v>
      </c>
      <c r="I548" s="123">
        <f t="shared" si="53"/>
        <v>25946.329999999984</v>
      </c>
      <c r="J548" s="123">
        <f t="shared" si="53"/>
        <v>30364.890000000036</v>
      </c>
      <c r="K548" s="148">
        <f t="shared" ca="1" si="53"/>
        <v>29922.206314755924</v>
      </c>
      <c r="L548" s="148">
        <f t="shared" ca="1" si="53"/>
        <v>35560.812302166953</v>
      </c>
      <c r="M548" s="148">
        <f t="shared" ca="1" si="53"/>
        <v>42813.094634676505</v>
      </c>
      <c r="N548" s="148">
        <f t="shared" ca="1" si="53"/>
        <v>51457.968532730025</v>
      </c>
      <c r="O548" s="148">
        <f t="shared" ca="1" si="53"/>
        <v>61558.413638330399</v>
      </c>
    </row>
    <row r="549" spans="1:15" hidden="1" outlineLevel="1" x14ac:dyDescent="0.25">
      <c r="A549" s="71"/>
      <c r="B549" s="71"/>
      <c r="C549" s="71" t="s">
        <v>370</v>
      </c>
      <c r="D549" s="71"/>
      <c r="E549" s="71"/>
      <c r="F549" s="184">
        <f>F547/F548</f>
        <v>0.15597966722954471</v>
      </c>
      <c r="G549" s="184">
        <f>G547/G548</f>
        <v>0.10863946939018566</v>
      </c>
      <c r="H549" s="184">
        <f>H547/H548</f>
        <v>0.11058201624380701</v>
      </c>
      <c r="I549" s="184">
        <f>I547/I548</f>
        <v>0.12518918860586456</v>
      </c>
      <c r="J549" s="184">
        <f>J547/J548</f>
        <v>0.167052803418685</v>
      </c>
      <c r="K549" s="189"/>
      <c r="L549" s="189"/>
      <c r="M549" s="189"/>
      <c r="N549" s="189"/>
      <c r="O549" s="189"/>
    </row>
    <row r="550" spans="1:15" hidden="1" outlineLevel="1" x14ac:dyDescent="0.25">
      <c r="A550" s="71"/>
      <c r="B550" s="71"/>
      <c r="C550" s="71" t="s">
        <v>371</v>
      </c>
      <c r="D550" s="71"/>
      <c r="E550" s="71"/>
      <c r="F550" s="123"/>
      <c r="G550" s="123"/>
      <c r="H550" s="123"/>
      <c r="I550" s="123"/>
      <c r="J550" s="190">
        <f>AVERAGE(F549:J549)</f>
        <v>0.1334886289776174</v>
      </c>
      <c r="K550" s="148"/>
      <c r="L550" s="148"/>
      <c r="M550" s="148"/>
      <c r="N550" s="148"/>
      <c r="O550" s="148"/>
    </row>
    <row r="551" spans="1:15" hidden="1" outlineLevel="1" x14ac:dyDescent="0.25">
      <c r="A551" s="71"/>
      <c r="B551" s="71"/>
      <c r="C551" s="71"/>
      <c r="D551" s="71"/>
      <c r="E551" s="71"/>
      <c r="F551" s="123"/>
      <c r="G551" s="123"/>
      <c r="H551" s="123"/>
      <c r="I551" s="123"/>
      <c r="J551" s="123"/>
      <c r="K551" s="148"/>
      <c r="L551" s="148"/>
      <c r="M551" s="148"/>
      <c r="N551" s="148"/>
      <c r="O551" s="148"/>
    </row>
    <row r="552" spans="1:15" hidden="1" outlineLevel="1" x14ac:dyDescent="0.25">
      <c r="A552" s="71"/>
      <c r="B552" s="71"/>
      <c r="C552" s="72" t="s">
        <v>372</v>
      </c>
      <c r="D552" s="71"/>
      <c r="E552" s="71"/>
      <c r="F552" s="123"/>
      <c r="G552" s="123"/>
      <c r="H552" s="123"/>
      <c r="I552" s="123"/>
      <c r="J552" s="123"/>
      <c r="K552" s="148">
        <f ca="1">K548*$J$550</f>
        <v>3994.2742969421738</v>
      </c>
      <c r="L552" s="148">
        <f ca="1">L548*$J$550</f>
        <v>4746.9640795466566</v>
      </c>
      <c r="M552" s="148">
        <f ca="1">M548*$J$550</f>
        <v>5715.0613050719539</v>
      </c>
      <c r="N552" s="148">
        <f ca="1">N548*$J$550</f>
        <v>6869.0536694075099</v>
      </c>
      <c r="O552" s="148">
        <f ca="1">O548*$J$550</f>
        <v>8217.3482386177893</v>
      </c>
    </row>
    <row r="553" spans="1:15" hidden="1" outlineLevel="1" x14ac:dyDescent="0.25">
      <c r="A553" s="71"/>
      <c r="B553" s="71"/>
      <c r="C553" s="71"/>
      <c r="D553" s="71"/>
      <c r="E553" s="71"/>
      <c r="F553" s="123"/>
      <c r="G553" s="123"/>
      <c r="H553" s="123"/>
      <c r="I553" s="123"/>
      <c r="J553" s="123"/>
      <c r="K553" s="148"/>
      <c r="L553" s="148"/>
      <c r="M553" s="148"/>
      <c r="N553" s="148"/>
      <c r="O553" s="148"/>
    </row>
    <row r="554" spans="1:15" hidden="1" outlineLevel="1" x14ac:dyDescent="0.25">
      <c r="A554" s="71"/>
      <c r="B554" s="71"/>
      <c r="C554" s="71" t="s">
        <v>375</v>
      </c>
      <c r="D554" s="71"/>
      <c r="E554" s="71"/>
      <c r="F554" s="123"/>
      <c r="G554" s="123"/>
      <c r="H554" s="123"/>
      <c r="I554" s="123"/>
      <c r="J554" s="123">
        <f>J196</f>
        <v>189023.06</v>
      </c>
      <c r="K554" s="148">
        <f ca="1">J554+K108-K552</f>
        <v>214950.99201781375</v>
      </c>
      <c r="L554" s="148">
        <f ca="1">K554+L108-L552</f>
        <v>245764.84024043404</v>
      </c>
      <c r="M554" s="148">
        <f ca="1">L554+M108-M552</f>
        <v>282862.87357003865</v>
      </c>
      <c r="N554" s="148">
        <f ca="1">M554+N108-N552</f>
        <v>327451.78843336116</v>
      </c>
      <c r="O554" s="148">
        <f ca="1">N554+O108-O552</f>
        <v>380792.85383307381</v>
      </c>
    </row>
    <row r="555" spans="1:15" hidden="1" outlineLevel="1" x14ac:dyDescent="0.25">
      <c r="A555" s="71"/>
      <c r="B555" s="71"/>
      <c r="C555" s="71"/>
      <c r="D555" s="71"/>
      <c r="E555" s="71"/>
      <c r="F555" s="123"/>
      <c r="G555" s="123"/>
      <c r="H555" s="123"/>
      <c r="I555" s="123"/>
      <c r="J555" s="123"/>
      <c r="K555" s="148"/>
      <c r="L555" s="148"/>
      <c r="M555" s="148"/>
      <c r="N555" s="148"/>
      <c r="O555" s="148"/>
    </row>
    <row r="556" spans="1:15" hidden="1" outlineLevel="1" x14ac:dyDescent="0.25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147"/>
      <c r="L556" s="147"/>
      <c r="M556" s="147"/>
      <c r="N556" s="147"/>
      <c r="O556" s="147"/>
    </row>
    <row r="557" spans="1:15" collapsed="1" x14ac:dyDescent="0.25">
      <c r="B557" s="56"/>
      <c r="C557" s="56"/>
      <c r="D557" s="56"/>
      <c r="E557" s="56"/>
      <c r="F557" s="56"/>
      <c r="G557" s="56"/>
      <c r="H557" s="56"/>
      <c r="I557" s="56"/>
      <c r="J557" s="56"/>
      <c r="K557" s="67"/>
      <c r="L557" s="67"/>
      <c r="M557" s="67"/>
      <c r="N557" s="67"/>
      <c r="O557" s="67"/>
    </row>
    <row r="558" spans="1:15" ht="25.5" x14ac:dyDescent="0.35">
      <c r="A558" s="142" t="s">
        <v>380</v>
      </c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5"/>
    </row>
    <row r="559" spans="1:15" x14ac:dyDescent="0.25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</row>
    <row r="560" spans="1:15" x14ac:dyDescent="0.25">
      <c r="A560" s="144" t="s">
        <v>155</v>
      </c>
      <c r="B560" s="86"/>
      <c r="C560" s="86"/>
      <c r="D560" s="86"/>
      <c r="E560" s="86"/>
      <c r="F560" s="145">
        <f>G560-1</f>
        <v>2021</v>
      </c>
      <c r="G560" s="145">
        <f>H560-1</f>
        <v>2022</v>
      </c>
      <c r="H560" s="145">
        <f>I560-1</f>
        <v>2023</v>
      </c>
      <c r="I560" s="145">
        <f>J560-1</f>
        <v>2024</v>
      </c>
      <c r="J560" s="145">
        <f>K560-1</f>
        <v>2025</v>
      </c>
      <c r="K560" s="146">
        <f>K$82</f>
        <v>2026</v>
      </c>
      <c r="L560" s="146">
        <f>L$82</f>
        <v>2027</v>
      </c>
      <c r="M560" s="146">
        <f>M$82</f>
        <v>2028</v>
      </c>
      <c r="N560" s="146">
        <f>N$82</f>
        <v>2029</v>
      </c>
      <c r="O560" s="146">
        <f>O$82</f>
        <v>2030</v>
      </c>
    </row>
    <row r="561" spans="1:15" x14ac:dyDescent="0.25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147"/>
      <c r="L561" s="147"/>
      <c r="M561" s="147"/>
      <c r="N561" s="147"/>
      <c r="O561" s="147"/>
    </row>
    <row r="562" spans="1:15" x14ac:dyDescent="0.25">
      <c r="A562" s="71"/>
      <c r="B562" s="71"/>
      <c r="C562" s="71" t="s">
        <v>381</v>
      </c>
      <c r="D562" s="71"/>
      <c r="E562" s="71"/>
      <c r="F562" s="184">
        <f>1-(F91+F92+F93)/F87</f>
        <v>0.54272301640102327</v>
      </c>
      <c r="G562" s="184">
        <f t="shared" ref="G562:O562" si="54">1-(G91+G92+G93)/G87</f>
        <v>0.52470291446034656</v>
      </c>
      <c r="H562" s="184">
        <f t="shared" si="54"/>
        <v>0.53842290090353906</v>
      </c>
      <c r="I562" s="184">
        <f t="shared" si="54"/>
        <v>0.55493403773056804</v>
      </c>
      <c r="J562" s="184">
        <f t="shared" si="54"/>
        <v>0.5519825131947198</v>
      </c>
      <c r="K562" s="189">
        <f t="shared" si="54"/>
        <v>0.53334472109540354</v>
      </c>
      <c r="L562" s="189">
        <f t="shared" si="54"/>
        <v>0.53334472109540354</v>
      </c>
      <c r="M562" s="189">
        <f t="shared" si="54"/>
        <v>0.53334472109540365</v>
      </c>
      <c r="N562" s="189">
        <f t="shared" si="54"/>
        <v>0.53334472109540354</v>
      </c>
      <c r="O562" s="189">
        <f t="shared" si="54"/>
        <v>0.53334472109540354</v>
      </c>
    </row>
    <row r="563" spans="1:15" x14ac:dyDescent="0.25">
      <c r="A563" s="71"/>
      <c r="B563" s="71"/>
      <c r="C563" s="71" t="s">
        <v>382</v>
      </c>
      <c r="D563" s="71"/>
      <c r="E563" s="71"/>
      <c r="F563" s="184">
        <f>F100/F87</f>
        <v>0.18753279694624306</v>
      </c>
      <c r="G563" s="184">
        <f t="shared" ref="G563:O563" si="55">G100/G87</f>
        <v>0.21165072083789863</v>
      </c>
      <c r="H563" s="184">
        <f t="shared" si="55"/>
        <v>0.22499403306737228</v>
      </c>
      <c r="I563" s="184">
        <f t="shared" si="55"/>
        <v>0.23546348521690449</v>
      </c>
      <c r="J563" s="184">
        <f t="shared" si="55"/>
        <v>0.23284670284065598</v>
      </c>
      <c r="K563" s="189">
        <f t="shared" ca="1" si="55"/>
        <v>0.20928919233917906</v>
      </c>
      <c r="L563" s="189">
        <f t="shared" ca="1" si="55"/>
        <v>0.20928919233917914</v>
      </c>
      <c r="M563" s="189">
        <f t="shared" ca="1" si="55"/>
        <v>0.20928919233917909</v>
      </c>
      <c r="N563" s="189">
        <f t="shared" ca="1" si="55"/>
        <v>0.20928919233917917</v>
      </c>
      <c r="O563" s="189">
        <f t="shared" ca="1" si="55"/>
        <v>0.20928919233917917</v>
      </c>
    </row>
    <row r="564" spans="1:15" x14ac:dyDescent="0.25">
      <c r="A564" s="71"/>
      <c r="B564" s="71"/>
      <c r="C564" s="71" t="s">
        <v>404</v>
      </c>
      <c r="D564" s="71"/>
      <c r="E564" s="71"/>
      <c r="F564" s="184">
        <f>(F102+F95)/F87</f>
        <v>0.13501948832797062</v>
      </c>
      <c r="G564" s="184">
        <f t="shared" ref="G564:O564" si="56">(G102+G95)/G87</f>
        <v>0.16774775524320598</v>
      </c>
      <c r="H564" s="184">
        <f t="shared" si="56"/>
        <v>0.1874971365268468</v>
      </c>
      <c r="I564" s="184">
        <f t="shared" si="56"/>
        <v>0.1941733786826538</v>
      </c>
      <c r="J564" s="184">
        <f t="shared" si="56"/>
        <v>0.19299888648476021</v>
      </c>
      <c r="K564" s="189">
        <f t="shared" ca="1" si="56"/>
        <v>0.15577133157822109</v>
      </c>
      <c r="L564" s="189">
        <f t="shared" ca="1" si="56"/>
        <v>0.1588008272636815</v>
      </c>
      <c r="M564" s="189">
        <f t="shared" ca="1" si="56"/>
        <v>0.16633620106640734</v>
      </c>
      <c r="N564" s="189">
        <f t="shared" ca="1" si="56"/>
        <v>0.17358531636423777</v>
      </c>
      <c r="O564" s="189">
        <f t="shared" ca="1" si="56"/>
        <v>0.18044665839383514</v>
      </c>
    </row>
    <row r="565" spans="1:15" x14ac:dyDescent="0.25">
      <c r="A565" s="71"/>
      <c r="B565" s="71"/>
      <c r="C565" s="71" t="s">
        <v>383</v>
      </c>
      <c r="D565" s="71"/>
      <c r="E565" s="71"/>
      <c r="F565" s="184">
        <f>F108/F87</f>
        <v>7.8661895927001818E-2</v>
      </c>
      <c r="G565" s="184">
        <f t="shared" ref="G565:O565" si="57">G108/G87</f>
        <v>0.11346822193217052</v>
      </c>
      <c r="H565" s="184">
        <f t="shared" si="57"/>
        <v>0.1281540669796212</v>
      </c>
      <c r="I565" s="184">
        <f t="shared" si="57"/>
        <v>0.12968204661716884</v>
      </c>
      <c r="J565" s="184">
        <f t="shared" si="57"/>
        <v>0.14002471434785638</v>
      </c>
      <c r="K565" s="189">
        <f t="shared" ca="1" si="57"/>
        <v>0.11481156421011507</v>
      </c>
      <c r="L565" s="189">
        <f t="shared" ca="1" si="57"/>
        <v>0.11969416108946845</v>
      </c>
      <c r="M565" s="189">
        <f t="shared" ca="1" si="57"/>
        <v>0.12595262227886828</v>
      </c>
      <c r="N565" s="189">
        <f t="shared" ca="1" si="57"/>
        <v>0.13185953998044586</v>
      </c>
      <c r="O565" s="189">
        <f t="shared" ca="1" si="57"/>
        <v>0.13733042033164325</v>
      </c>
    </row>
    <row r="566" spans="1:15" x14ac:dyDescent="0.25">
      <c r="A566" s="71"/>
      <c r="B566" s="71"/>
      <c r="C566" s="71"/>
      <c r="D566" s="71"/>
      <c r="E566" s="71"/>
      <c r="F566" s="184"/>
      <c r="G566" s="184"/>
      <c r="H566" s="184"/>
      <c r="I566" s="184"/>
      <c r="J566" s="184"/>
      <c r="K566" s="189"/>
      <c r="L566" s="189"/>
      <c r="M566" s="189"/>
      <c r="N566" s="189"/>
      <c r="O566" s="189"/>
    </row>
    <row r="567" spans="1:15" x14ac:dyDescent="0.25">
      <c r="A567" s="71"/>
      <c r="B567" s="71"/>
      <c r="C567" s="71" t="s">
        <v>405</v>
      </c>
      <c r="D567" s="71"/>
      <c r="E567" s="71"/>
      <c r="F567" s="184"/>
      <c r="G567" s="184">
        <f>G108/((G197+F197)/2)</f>
        <v>0.32556874713578932</v>
      </c>
      <c r="H567" s="184">
        <f t="shared" ref="H567:O567" si="58">H108/((H197+G197)/2)</f>
        <v>0.34154711095170132</v>
      </c>
      <c r="I567" s="184">
        <f t="shared" si="58"/>
        <v>0.22038537050810503</v>
      </c>
      <c r="J567" s="184">
        <f t="shared" si="58"/>
        <v>0.16781498161309849</v>
      </c>
      <c r="K567" s="189">
        <f t="shared" ca="1" si="58"/>
        <v>0.14333921970885841</v>
      </c>
      <c r="L567" s="189">
        <f t="shared" ca="1" si="58"/>
        <v>0.14996848828672674</v>
      </c>
      <c r="M567" s="189">
        <f t="shared" ca="1" si="58"/>
        <v>0.15793653632275054</v>
      </c>
      <c r="N567" s="189">
        <f t="shared" ca="1" si="58"/>
        <v>0.16497099338124285</v>
      </c>
      <c r="O567" s="189">
        <f t="shared" ca="1" si="58"/>
        <v>0.17057564514095186</v>
      </c>
    </row>
    <row r="568" spans="1:15" x14ac:dyDescent="0.25">
      <c r="A568" s="71"/>
      <c r="B568" s="71"/>
      <c r="C568" s="71" t="s">
        <v>406</v>
      </c>
      <c r="D568" s="71"/>
      <c r="E568" s="71"/>
      <c r="F568" s="184"/>
      <c r="G568" s="184">
        <f>G108/(((G197+F197)/2)+F203)</f>
        <v>0.23338898716224904</v>
      </c>
      <c r="H568" s="184">
        <f t="shared" ref="H568:O568" si="59">H108/(((H197+G197)/2)+G203)</f>
        <v>0.26540145235353252</v>
      </c>
      <c r="I568" s="184">
        <f t="shared" si="59"/>
        <v>0.17341367454297771</v>
      </c>
      <c r="J568" s="184">
        <f t="shared" si="59"/>
        <v>0.16036420048623848</v>
      </c>
      <c r="K568" s="189">
        <f t="shared" ca="1" si="59"/>
        <v>0.13972186972736594</v>
      </c>
      <c r="L568" s="189">
        <f t="shared" ca="1" si="59"/>
        <v>0.1482365449856646</v>
      </c>
      <c r="M568" s="189">
        <f t="shared" ca="1" si="59"/>
        <v>0.1571046355917938</v>
      </c>
      <c r="N568" s="189">
        <f t="shared" ca="1" si="59"/>
        <v>0.16473685030767893</v>
      </c>
      <c r="O568" s="189">
        <f t="shared" ca="1" si="59"/>
        <v>0.17055191382929361</v>
      </c>
    </row>
    <row r="569" spans="1:15" x14ac:dyDescent="0.25">
      <c r="A569" s="71"/>
      <c r="B569" s="71"/>
      <c r="C569" s="71"/>
      <c r="D569" s="71"/>
      <c r="E569" s="71"/>
      <c r="F569" s="184"/>
      <c r="G569" s="184"/>
      <c r="H569" s="184"/>
      <c r="I569" s="184"/>
      <c r="J569" s="184"/>
      <c r="K569" s="189"/>
      <c r="L569" s="189"/>
      <c r="M569" s="189"/>
      <c r="N569" s="189"/>
      <c r="O569" s="189"/>
    </row>
    <row r="570" spans="1:15" x14ac:dyDescent="0.25">
      <c r="A570" s="71"/>
      <c r="B570" s="71"/>
      <c r="C570" s="71" t="s">
        <v>407</v>
      </c>
      <c r="D570" s="71"/>
      <c r="E570" s="71"/>
      <c r="F570" s="184"/>
      <c r="G570" s="184"/>
      <c r="H570" s="184"/>
      <c r="I570" s="184"/>
      <c r="J570" s="222">
        <f>J108</f>
        <v>30364.890000000036</v>
      </c>
      <c r="K570" s="223">
        <f ca="1">K108</f>
        <v>29922.206314755924</v>
      </c>
      <c r="L570" s="223">
        <f t="shared" ref="L570:O570" ca="1" si="60">L108</f>
        <v>35560.812302166953</v>
      </c>
      <c r="M570" s="223">
        <f t="shared" ca="1" si="60"/>
        <v>42813.094634676505</v>
      </c>
      <c r="N570" s="223">
        <f t="shared" ca="1" si="60"/>
        <v>51457.968532730025</v>
      </c>
      <c r="O570" s="223">
        <f t="shared" ca="1" si="60"/>
        <v>61558.413638330399</v>
      </c>
    </row>
    <row r="571" spans="1:15" x14ac:dyDescent="0.25">
      <c r="A571" s="71"/>
      <c r="B571" s="71"/>
      <c r="C571" s="71"/>
      <c r="D571" s="71"/>
      <c r="E571" s="71"/>
      <c r="F571" s="184"/>
      <c r="G571" s="184"/>
      <c r="H571" s="184"/>
      <c r="I571" s="184"/>
      <c r="J571" s="184"/>
      <c r="K571" s="189">
        <f ca="1">K570/J570-1</f>
        <v>-1.4578800886290377E-2</v>
      </c>
      <c r="L571" s="189">
        <f t="shared" ref="L571:O571" ca="1" si="61">L570/K570-1</f>
        <v>0.18844218665220525</v>
      </c>
      <c r="M571" s="189">
        <f t="shared" ca="1" si="61"/>
        <v>0.20394028884620341</v>
      </c>
      <c r="N571" s="189">
        <f t="shared" ca="1" si="61"/>
        <v>0.20192125731204658</v>
      </c>
      <c r="O571" s="189">
        <f t="shared" ca="1" si="61"/>
        <v>0.19628534498356554</v>
      </c>
    </row>
    <row r="572" spans="1:15" x14ac:dyDescent="0.25">
      <c r="A572" s="71"/>
      <c r="B572" s="72" t="s">
        <v>408</v>
      </c>
      <c r="C572" s="71"/>
      <c r="D572" s="71"/>
      <c r="E572" s="71"/>
      <c r="F572" s="184"/>
      <c r="G572" s="184"/>
      <c r="H572" s="184"/>
      <c r="I572" s="184"/>
      <c r="J572" s="184"/>
      <c r="K572" s="189"/>
      <c r="L572" s="189"/>
      <c r="M572" s="189"/>
      <c r="N572" s="189"/>
      <c r="O572" s="189"/>
    </row>
    <row r="573" spans="1:15" x14ac:dyDescent="0.25">
      <c r="A573" s="71"/>
      <c r="B573" s="72"/>
      <c r="C573" s="71" t="s">
        <v>413</v>
      </c>
      <c r="D573" s="71"/>
      <c r="E573" s="71"/>
      <c r="F573" s="184"/>
      <c r="G573" s="184"/>
      <c r="H573" s="184"/>
      <c r="I573" s="184"/>
      <c r="J573" s="123"/>
      <c r="K573" s="148">
        <f t="shared" ref="K573:O573" ca="1" si="62">(K100-K96)/(K446+K443)</f>
        <v>44.941340310250176</v>
      </c>
      <c r="L573" s="148">
        <f t="shared" ca="1" si="62"/>
        <v>60.83713276786532</v>
      </c>
      <c r="M573" s="148">
        <f t="shared" ca="1" si="62"/>
        <v>82.877674461502195</v>
      </c>
      <c r="N573" s="148">
        <f t="shared" ca="1" si="62"/>
        <v>111.48950062078296</v>
      </c>
      <c r="O573" s="148">
        <f t="shared" ca="1" si="62"/>
        <v>140.68323727576205</v>
      </c>
    </row>
    <row r="574" spans="1:15" x14ac:dyDescent="0.25">
      <c r="A574" s="71"/>
      <c r="B574" s="72"/>
      <c r="C574" s="71"/>
      <c r="D574" s="71"/>
      <c r="E574" s="71"/>
      <c r="F574" s="184"/>
      <c r="G574" s="184"/>
      <c r="H574" s="184"/>
      <c r="I574" s="184"/>
      <c r="J574" s="184"/>
      <c r="K574" s="189"/>
      <c r="L574" s="189"/>
      <c r="M574" s="189"/>
      <c r="N574" s="189"/>
      <c r="O574" s="189"/>
    </row>
    <row r="575" spans="1:15" x14ac:dyDescent="0.25">
      <c r="A575" s="71"/>
      <c r="B575" s="71"/>
      <c r="C575" s="71" t="s">
        <v>409</v>
      </c>
      <c r="D575" s="71"/>
      <c r="E575" s="71"/>
      <c r="F575" s="184"/>
      <c r="G575" s="184"/>
      <c r="H575" s="184"/>
      <c r="I575" s="184"/>
      <c r="J575" s="216">
        <f>365/(J87/((J185+I185)/2))</f>
        <v>17.630050297944987</v>
      </c>
      <c r="K575" s="159">
        <f t="shared" ref="K575:O575" si="63">365/(K87/((K185+J185)/2))</f>
        <v>19.257981150260029</v>
      </c>
      <c r="L575" s="159">
        <f t="shared" si="63"/>
        <v>19.732612655456311</v>
      </c>
      <c r="M575" s="159">
        <f t="shared" si="63"/>
        <v>19.699127416067029</v>
      </c>
      <c r="N575" s="159">
        <f t="shared" si="63"/>
        <v>19.667429039054706</v>
      </c>
      <c r="O575" s="159">
        <f t="shared" si="63"/>
        <v>19.663046795511178</v>
      </c>
    </row>
    <row r="576" spans="1:15" x14ac:dyDescent="0.25">
      <c r="A576" s="71"/>
      <c r="B576" s="71"/>
      <c r="C576" s="71" t="s">
        <v>410</v>
      </c>
      <c r="D576" s="71"/>
      <c r="E576" s="71"/>
      <c r="F576" s="184"/>
      <c r="G576" s="184"/>
      <c r="H576" s="184"/>
      <c r="I576" s="184"/>
      <c r="J576" s="216">
        <f>365/((J91+J92)/((J184+I184)/2))</f>
        <v>107.97919721959941</v>
      </c>
      <c r="K576" s="159">
        <f t="shared" ref="K576:O576" si="64">365/((K91+K92)/((K184+J184)/2))</f>
        <v>99.189031450490916</v>
      </c>
      <c r="L576" s="159">
        <f t="shared" si="64"/>
        <v>103.05030314849705</v>
      </c>
      <c r="M576" s="159">
        <f t="shared" si="64"/>
        <v>102.87543202877681</v>
      </c>
      <c r="N576" s="159">
        <f t="shared" si="64"/>
        <v>102.70989250203135</v>
      </c>
      <c r="O576" s="159">
        <f t="shared" si="64"/>
        <v>102.68700696054144</v>
      </c>
    </row>
    <row r="577" spans="1:15" x14ac:dyDescent="0.25">
      <c r="A577" s="86"/>
      <c r="B577" s="86"/>
      <c r="C577" s="86" t="s">
        <v>411</v>
      </c>
      <c r="D577" s="86"/>
      <c r="E577" s="86"/>
      <c r="F577" s="224"/>
      <c r="G577" s="224"/>
      <c r="H577" s="224"/>
      <c r="I577" s="224"/>
      <c r="J577" s="225">
        <f>365/((J91+J92)/((J213+I213)/2))</f>
        <v>55.68588803499506</v>
      </c>
      <c r="K577" s="226">
        <f t="shared" ref="K577:O577" si="65">365/((K91+K92)/((K213+J213)/2))</f>
        <v>47.088049493950528</v>
      </c>
      <c r="L577" s="226">
        <f t="shared" si="65"/>
        <v>48.921112587383952</v>
      </c>
      <c r="M577" s="226">
        <f t="shared" si="65"/>
        <v>48.838095949152553</v>
      </c>
      <c r="N577" s="226">
        <f t="shared" si="65"/>
        <v>48.759509301873038</v>
      </c>
      <c r="O577" s="226">
        <f t="shared" si="65"/>
        <v>48.748644839395546</v>
      </c>
    </row>
    <row r="578" spans="1:15" x14ac:dyDescent="0.25">
      <c r="A578" s="71"/>
      <c r="B578" s="71"/>
      <c r="C578" s="71" t="s">
        <v>412</v>
      </c>
      <c r="D578" s="71"/>
      <c r="E578" s="71"/>
      <c r="F578" s="184"/>
      <c r="G578" s="184"/>
      <c r="H578" s="184"/>
      <c r="I578" s="184"/>
      <c r="J578" s="227">
        <f>J575+J576-J577</f>
        <v>69.923359482549344</v>
      </c>
      <c r="K578" s="228">
        <f t="shared" ref="K578:O578" si="66">K575+K576-K577</f>
        <v>71.358963106800417</v>
      </c>
      <c r="L578" s="228">
        <f t="shared" si="66"/>
        <v>73.861803216569399</v>
      </c>
      <c r="M578" s="228">
        <f t="shared" si="66"/>
        <v>73.736463495691282</v>
      </c>
      <c r="N578" s="228">
        <f t="shared" si="66"/>
        <v>73.617812239213023</v>
      </c>
      <c r="O578" s="228">
        <f t="shared" si="66"/>
        <v>73.601408916657078</v>
      </c>
    </row>
    <row r="579" spans="1:15" x14ac:dyDescent="0.25">
      <c r="A579" s="71"/>
      <c r="B579" s="71"/>
      <c r="C579" s="71"/>
      <c r="D579" s="71"/>
      <c r="E579" s="71"/>
      <c r="F579" s="184"/>
      <c r="G579" s="184"/>
      <c r="H579" s="184"/>
      <c r="I579" s="184"/>
      <c r="J579" s="184"/>
      <c r="K579" s="189"/>
      <c r="L579" s="189"/>
      <c r="M579" s="189"/>
      <c r="N579" s="189"/>
      <c r="O579" s="189"/>
    </row>
    <row r="580" spans="1:15" x14ac:dyDescent="0.25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147"/>
      <c r="L580" s="147"/>
      <c r="M580" s="147"/>
      <c r="N580" s="147"/>
      <c r="O580" s="147"/>
    </row>
    <row r="581" spans="1:15" x14ac:dyDescent="0.25">
      <c r="A581" s="79"/>
      <c r="B581" s="296" t="s">
        <v>384</v>
      </c>
      <c r="C581" s="297"/>
      <c r="D581" s="297"/>
      <c r="E581" s="297"/>
      <c r="F581" s="297"/>
      <c r="G581" s="297"/>
      <c r="H581" s="297"/>
      <c r="I581" s="297"/>
      <c r="J581" s="297"/>
      <c r="K581" s="297"/>
      <c r="L581" s="297"/>
      <c r="M581" s="297"/>
      <c r="N581" s="297"/>
      <c r="O581" s="298"/>
    </row>
    <row r="582" spans="1:15" x14ac:dyDescent="0.25">
      <c r="A582" s="79"/>
      <c r="B582" s="235"/>
      <c r="C582" s="236"/>
      <c r="D582" s="236"/>
      <c r="E582" s="236"/>
      <c r="F582" s="236"/>
      <c r="G582" s="236"/>
      <c r="H582" s="236"/>
      <c r="I582" s="236"/>
      <c r="J582" s="236"/>
      <c r="K582" s="292"/>
      <c r="L582" s="236"/>
      <c r="M582" s="236"/>
      <c r="N582" s="236"/>
      <c r="O582" s="237"/>
    </row>
    <row r="583" spans="1:15" x14ac:dyDescent="0.25">
      <c r="A583" s="79"/>
      <c r="B583" s="235"/>
      <c r="C583" s="236" t="s">
        <v>385</v>
      </c>
      <c r="D583" s="236"/>
      <c r="E583" s="236"/>
      <c r="F583" s="236"/>
      <c r="G583" s="236"/>
      <c r="H583" s="236"/>
      <c r="I583" s="236"/>
      <c r="J583" s="236"/>
      <c r="K583" s="307">
        <f ca="1">K143</f>
        <v>38126.79829780219</v>
      </c>
      <c r="L583" s="299">
        <f ca="1">L143</f>
        <v>45391.044246978592</v>
      </c>
      <c r="M583" s="299">
        <f ca="1">M143</f>
        <v>51107.10390002207</v>
      </c>
      <c r="N583" s="299">
        <f ca="1">N143</f>
        <v>57779.807723347461</v>
      </c>
      <c r="O583" s="300">
        <f ca="1">O143</f>
        <v>65588.365443585339</v>
      </c>
    </row>
    <row r="584" spans="1:15" x14ac:dyDescent="0.25">
      <c r="A584" s="79"/>
      <c r="B584" s="235"/>
      <c r="C584" s="236" t="s">
        <v>386</v>
      </c>
      <c r="D584" s="236"/>
      <c r="E584" s="236"/>
      <c r="F584" s="236"/>
      <c r="G584" s="236"/>
      <c r="H584" s="236"/>
      <c r="I584" s="236"/>
      <c r="J584" s="236"/>
      <c r="K584" s="307">
        <f>-(K147+K149)</f>
        <v>20177.6885</v>
      </c>
      <c r="L584" s="299">
        <f t="shared" ref="L584:O584" si="67">-(L147+L149)</f>
        <v>17464.389432916843</v>
      </c>
      <c r="M584" s="299">
        <f t="shared" si="67"/>
        <v>18648.277730534934</v>
      </c>
      <c r="N584" s="299">
        <f t="shared" si="67"/>
        <v>19904.385029766869</v>
      </c>
      <c r="O584" s="300">
        <f t="shared" si="67"/>
        <v>21272.690981684464</v>
      </c>
    </row>
    <row r="585" spans="1:15" x14ac:dyDescent="0.25">
      <c r="A585" s="79"/>
      <c r="B585" s="235"/>
      <c r="C585" s="236" t="s">
        <v>387</v>
      </c>
      <c r="D585" s="236"/>
      <c r="E585" s="236"/>
      <c r="F585" s="236"/>
      <c r="G585" s="236"/>
      <c r="H585" s="236"/>
      <c r="I585" s="236"/>
      <c r="J585" s="236"/>
      <c r="K585" s="307">
        <f>K155</f>
        <v>-2705.2615277207678</v>
      </c>
      <c r="L585" s="299">
        <f t="shared" ref="L585:O585" si="68">L155</f>
        <v>-2043.1229546912914</v>
      </c>
      <c r="M585" s="299">
        <f t="shared" si="68"/>
        <v>-1333.4134375879407</v>
      </c>
      <c r="N585" s="299">
        <f t="shared" si="68"/>
        <v>-993.12342000000012</v>
      </c>
      <c r="O585" s="300">
        <f t="shared" si="68"/>
        <v>-393.12342000000001</v>
      </c>
    </row>
    <row r="586" spans="1:15" x14ac:dyDescent="0.25">
      <c r="A586" s="79"/>
      <c r="B586" s="292"/>
      <c r="C586" s="293" t="s">
        <v>388</v>
      </c>
      <c r="D586" s="293"/>
      <c r="E586" s="293"/>
      <c r="F586" s="293"/>
      <c r="G586" s="293"/>
      <c r="H586" s="293"/>
      <c r="I586" s="293"/>
      <c r="J586" s="293"/>
      <c r="K586" s="308">
        <f ca="1">K583-K584+K585</f>
        <v>15243.848270081422</v>
      </c>
      <c r="L586" s="301">
        <f t="shared" ref="L586:O586" ca="1" si="69">L583-L584+L585</f>
        <v>25883.531859370458</v>
      </c>
      <c r="M586" s="301">
        <f t="shared" ca="1" si="69"/>
        <v>31125.412731899196</v>
      </c>
      <c r="N586" s="301">
        <f t="shared" ca="1" si="69"/>
        <v>36882.299273580589</v>
      </c>
      <c r="O586" s="302">
        <f t="shared" ca="1" si="69"/>
        <v>43922.551041900871</v>
      </c>
    </row>
    <row r="587" spans="1:15" x14ac:dyDescent="0.25">
      <c r="A587" s="79"/>
      <c r="B587" s="235"/>
      <c r="C587" s="236" t="s">
        <v>403</v>
      </c>
      <c r="D587" s="236"/>
      <c r="E587" s="236"/>
      <c r="F587" s="236"/>
      <c r="G587" s="236"/>
      <c r="H587" s="236"/>
      <c r="I587" s="236"/>
      <c r="J587" s="236"/>
      <c r="K587" s="235"/>
      <c r="L587" s="303">
        <f ca="1">L586/K586-1</f>
        <v>0.69796572366645626</v>
      </c>
      <c r="M587" s="303">
        <f t="shared" ref="M587:O587" ca="1" si="70">M586/L586-1</f>
        <v>0.20251799101485646</v>
      </c>
      <c r="N587" s="303">
        <f t="shared" ca="1" si="70"/>
        <v>0.18495775754907151</v>
      </c>
      <c r="O587" s="304">
        <f t="shared" ca="1" si="70"/>
        <v>0.19088429699292986</v>
      </c>
    </row>
    <row r="588" spans="1:15" x14ac:dyDescent="0.25">
      <c r="A588" s="79"/>
      <c r="B588" s="235"/>
      <c r="C588" s="236"/>
      <c r="D588" s="236"/>
      <c r="E588" s="236"/>
      <c r="F588" s="236"/>
      <c r="G588" s="236"/>
      <c r="H588" s="236"/>
      <c r="I588" s="236"/>
      <c r="J588" s="236"/>
      <c r="K588" s="235"/>
      <c r="L588" s="236"/>
      <c r="M588" s="236"/>
      <c r="N588" s="236"/>
      <c r="O588" s="237"/>
    </row>
    <row r="589" spans="1:15" x14ac:dyDescent="0.25">
      <c r="A589" s="79"/>
      <c r="B589" s="235" t="s">
        <v>389</v>
      </c>
      <c r="C589" s="236"/>
      <c r="D589" s="236"/>
      <c r="E589" s="236"/>
      <c r="F589" s="236"/>
      <c r="G589" s="236"/>
      <c r="H589" s="236"/>
      <c r="I589" s="236"/>
      <c r="J589" s="236"/>
      <c r="K589" s="235"/>
      <c r="L589" s="236"/>
      <c r="M589" s="236"/>
      <c r="N589" s="236"/>
      <c r="O589" s="237"/>
    </row>
    <row r="590" spans="1:15" x14ac:dyDescent="0.25">
      <c r="A590" s="79"/>
      <c r="B590" s="235"/>
      <c r="C590" s="236" t="s">
        <v>390</v>
      </c>
      <c r="D590" s="236"/>
      <c r="E590" s="236"/>
      <c r="F590" s="236"/>
      <c r="G590" s="236"/>
      <c r="H590" s="236"/>
      <c r="I590" s="236"/>
      <c r="J590" s="318">
        <v>5.3019999999999998E-2</v>
      </c>
      <c r="K590" s="235"/>
      <c r="L590" s="236"/>
      <c r="M590" s="236"/>
      <c r="N590" s="236"/>
      <c r="O590" s="237"/>
    </row>
    <row r="591" spans="1:15" x14ac:dyDescent="0.25">
      <c r="A591" s="79"/>
      <c r="B591" s="235"/>
      <c r="C591" s="236" t="s">
        <v>391</v>
      </c>
      <c r="D591" s="236"/>
      <c r="E591" s="236"/>
      <c r="F591" s="236"/>
      <c r="G591" s="236"/>
      <c r="H591" s="236"/>
      <c r="I591" s="236"/>
      <c r="J591" s="319">
        <v>7.4475E-2</v>
      </c>
      <c r="K591" s="235"/>
      <c r="L591" s="236"/>
      <c r="M591" s="236"/>
      <c r="N591" s="236"/>
      <c r="O591" s="237"/>
    </row>
    <row r="592" spans="1:15" x14ac:dyDescent="0.25">
      <c r="A592" s="79"/>
      <c r="B592" s="235"/>
      <c r="C592" s="236" t="s">
        <v>392</v>
      </c>
      <c r="D592" s="236"/>
      <c r="E592" s="236"/>
      <c r="F592" s="236"/>
      <c r="G592" s="236"/>
      <c r="H592" s="236"/>
      <c r="I592" s="236"/>
      <c r="J592" s="320">
        <v>0.59850000000000003</v>
      </c>
      <c r="K592" s="235"/>
      <c r="L592" s="236"/>
      <c r="M592" s="236"/>
      <c r="N592" s="236"/>
      <c r="O592" s="237"/>
    </row>
    <row r="593" spans="1:15" x14ac:dyDescent="0.25">
      <c r="A593" s="79"/>
      <c r="B593" s="292" t="s">
        <v>389</v>
      </c>
      <c r="C593" s="293"/>
      <c r="D593" s="293"/>
      <c r="E593" s="293"/>
      <c r="F593" s="293"/>
      <c r="G593" s="293"/>
      <c r="H593" s="293"/>
      <c r="I593" s="293"/>
      <c r="J593" s="311">
        <f>J590+J592*J591</f>
        <v>9.7593287500000001E-2</v>
      </c>
      <c r="K593" s="235"/>
      <c r="L593" s="236"/>
      <c r="M593" s="236"/>
      <c r="N593" s="236"/>
      <c r="O593" s="237"/>
    </row>
    <row r="594" spans="1:15" x14ac:dyDescent="0.25">
      <c r="A594" s="79"/>
      <c r="B594" s="235"/>
      <c r="C594" s="236"/>
      <c r="D594" s="236"/>
      <c r="E594" s="236"/>
      <c r="F594" s="236"/>
      <c r="G594" s="236"/>
      <c r="H594" s="236"/>
      <c r="I594" s="236"/>
      <c r="J594" s="271"/>
      <c r="K594" s="235"/>
      <c r="L594" s="236"/>
      <c r="M594" s="236"/>
      <c r="N594" s="236"/>
      <c r="O594" s="237"/>
    </row>
    <row r="595" spans="1:15" x14ac:dyDescent="0.25">
      <c r="A595" s="79"/>
      <c r="B595" s="235"/>
      <c r="C595" s="236" t="s">
        <v>416</v>
      </c>
      <c r="D595" s="236"/>
      <c r="E595" s="236"/>
      <c r="F595" s="236"/>
      <c r="G595" s="236"/>
      <c r="H595" s="236"/>
      <c r="I595" s="236"/>
      <c r="J595" s="271">
        <f>J590</f>
        <v>5.3019999999999998E-2</v>
      </c>
      <c r="K595" s="235"/>
      <c r="L595" s="236"/>
      <c r="M595" s="236"/>
      <c r="N595" s="236"/>
      <c r="O595" s="237"/>
    </row>
    <row r="596" spans="1:15" x14ac:dyDescent="0.25">
      <c r="A596" s="79"/>
      <c r="B596" s="235"/>
      <c r="C596" s="236" t="s">
        <v>393</v>
      </c>
      <c r="D596" s="236"/>
      <c r="E596" s="236"/>
      <c r="F596" s="236"/>
      <c r="G596" s="236"/>
      <c r="H596" s="236"/>
      <c r="I596" s="236"/>
      <c r="J596" s="312">
        <f ca="1">K586/(1+J593)</f>
        <v>13888.430663422239</v>
      </c>
      <c r="K596" s="235"/>
      <c r="L596" s="236"/>
      <c r="M596" s="236"/>
      <c r="N596" s="236"/>
      <c r="O596" s="237"/>
    </row>
    <row r="597" spans="1:15" x14ac:dyDescent="0.25">
      <c r="A597" s="79"/>
      <c r="B597" s="235"/>
      <c r="C597" s="236" t="s">
        <v>394</v>
      </c>
      <c r="D597" s="236"/>
      <c r="E597" s="236"/>
      <c r="F597" s="236"/>
      <c r="G597" s="236"/>
      <c r="H597" s="236"/>
      <c r="I597" s="236"/>
      <c r="J597" s="313">
        <f ca="1">L586/(1+J593)^2</f>
        <v>21485.261882133313</v>
      </c>
      <c r="K597" s="235"/>
      <c r="L597" s="236"/>
      <c r="M597" s="236"/>
      <c r="N597" s="236"/>
      <c r="O597" s="237"/>
    </row>
    <row r="598" spans="1:15" x14ac:dyDescent="0.25">
      <c r="A598" s="79"/>
      <c r="B598" s="235"/>
      <c r="C598" s="236" t="s">
        <v>395</v>
      </c>
      <c r="D598" s="236"/>
      <c r="E598" s="236"/>
      <c r="F598" s="236"/>
      <c r="G598" s="236"/>
      <c r="H598" s="236"/>
      <c r="I598" s="236"/>
      <c r="J598" s="313">
        <f ca="1">M586/(1+J593)^3</f>
        <v>23539.150839541755</v>
      </c>
      <c r="K598" s="235"/>
      <c r="L598" s="236"/>
      <c r="M598" s="236"/>
      <c r="N598" s="236"/>
      <c r="O598" s="237"/>
    </row>
    <row r="599" spans="1:15" x14ac:dyDescent="0.25">
      <c r="A599" s="79"/>
      <c r="B599" s="235"/>
      <c r="C599" s="236" t="s">
        <v>396</v>
      </c>
      <c r="D599" s="236"/>
      <c r="E599" s="236"/>
      <c r="F599" s="236"/>
      <c r="G599" s="236"/>
      <c r="H599" s="236"/>
      <c r="I599" s="236"/>
      <c r="J599" s="313">
        <f ca="1">N586/(1+J593)^4</f>
        <v>25412.782413205801</v>
      </c>
      <c r="K599" s="235"/>
      <c r="L599" s="236"/>
      <c r="M599" s="236"/>
      <c r="N599" s="236"/>
      <c r="O599" s="237"/>
    </row>
    <row r="600" spans="1:15" x14ac:dyDescent="0.25">
      <c r="A600" s="79"/>
      <c r="B600" s="235"/>
      <c r="C600" s="236" t="s">
        <v>397</v>
      </c>
      <c r="D600" s="236"/>
      <c r="E600" s="236"/>
      <c r="F600" s="236"/>
      <c r="G600" s="236"/>
      <c r="H600" s="236"/>
      <c r="I600" s="236"/>
      <c r="J600" s="313">
        <f ca="1">O586/(1+J593)^5</f>
        <v>27572.766582526026</v>
      </c>
      <c r="K600" s="235"/>
      <c r="L600" s="236"/>
      <c r="M600" s="236"/>
      <c r="N600" s="236"/>
      <c r="O600" s="237"/>
    </row>
    <row r="601" spans="1:15" x14ac:dyDescent="0.25">
      <c r="A601" s="79"/>
      <c r="B601" s="235"/>
      <c r="C601" s="236" t="s">
        <v>398</v>
      </c>
      <c r="D601" s="236"/>
      <c r="E601" s="236"/>
      <c r="F601" s="277"/>
      <c r="G601" s="277"/>
      <c r="H601" s="277"/>
      <c r="I601" s="277"/>
      <c r="J601" s="314">
        <f ca="1">(O586*(1+J590))/(J593-J590)</f>
        <v>1037646.700350349</v>
      </c>
      <c r="K601" s="309"/>
      <c r="L601" s="277"/>
      <c r="M601" s="277"/>
      <c r="N601" s="277"/>
      <c r="O601" s="279"/>
    </row>
    <row r="602" spans="1:15" x14ac:dyDescent="0.25">
      <c r="A602" s="79"/>
      <c r="B602" s="242"/>
      <c r="C602" s="243" t="s">
        <v>399</v>
      </c>
      <c r="D602" s="243"/>
      <c r="E602" s="243"/>
      <c r="F602" s="280"/>
      <c r="G602" s="280"/>
      <c r="H602" s="280"/>
      <c r="I602" s="280"/>
      <c r="J602" s="315">
        <f ca="1">J601/(1+J593)^5</f>
        <v>651391.8154843651</v>
      </c>
      <c r="K602" s="310"/>
      <c r="L602" s="280"/>
      <c r="M602" s="280"/>
      <c r="N602" s="280"/>
      <c r="O602" s="282"/>
    </row>
    <row r="603" spans="1:15" x14ac:dyDescent="0.25">
      <c r="A603" s="79"/>
      <c r="B603" s="235"/>
      <c r="C603" s="236" t="s">
        <v>400</v>
      </c>
      <c r="D603" s="236"/>
      <c r="E603" s="236"/>
      <c r="F603" s="277"/>
      <c r="G603" s="277"/>
      <c r="H603" s="277"/>
      <c r="I603" s="277"/>
      <c r="J603" s="314">
        <f ca="1">J596+J597+J598+J599+J600+J602</f>
        <v>763290.20786519418</v>
      </c>
      <c r="K603" s="309"/>
      <c r="L603" s="277"/>
      <c r="M603" s="277"/>
      <c r="N603" s="277"/>
      <c r="O603" s="279"/>
    </row>
    <row r="604" spans="1:15" x14ac:dyDescent="0.25">
      <c r="A604" s="79"/>
      <c r="B604" s="235"/>
      <c r="C604" s="236" t="s">
        <v>401</v>
      </c>
      <c r="D604" s="236" t="s">
        <v>22</v>
      </c>
      <c r="E604" s="236"/>
      <c r="F604" s="277"/>
      <c r="G604" s="277"/>
      <c r="H604" s="277"/>
      <c r="I604" s="277"/>
      <c r="J604" s="316">
        <f>J112</f>
        <v>3383500</v>
      </c>
      <c r="K604" s="309"/>
      <c r="L604" s="277"/>
      <c r="M604" s="277"/>
      <c r="N604" s="277"/>
      <c r="O604" s="279"/>
    </row>
    <row r="605" spans="1:15" x14ac:dyDescent="0.25">
      <c r="A605" s="202"/>
      <c r="B605" s="261"/>
      <c r="C605" s="305" t="s">
        <v>402</v>
      </c>
      <c r="D605" s="305"/>
      <c r="E605" s="305"/>
      <c r="F605" s="306"/>
      <c r="G605" s="306"/>
      <c r="H605" s="306"/>
      <c r="I605" s="306"/>
      <c r="J605" s="317">
        <f ca="1">(J603/J604)*1000</f>
        <v>225.59190420132828</v>
      </c>
      <c r="K605" s="310"/>
      <c r="L605" s="280"/>
      <c r="M605" s="280"/>
      <c r="N605" s="280"/>
      <c r="O605" s="282"/>
    </row>
    <row r="606" spans="1:15" x14ac:dyDescent="0.25">
      <c r="B606" s="56"/>
      <c r="C606" s="56"/>
      <c r="D606" s="56"/>
      <c r="E606" s="56"/>
      <c r="F606" s="63"/>
      <c r="G606" s="63"/>
      <c r="H606" s="63"/>
      <c r="I606" s="63"/>
      <c r="J606" s="63"/>
      <c r="K606" s="63"/>
      <c r="L606" s="63"/>
      <c r="M606" s="63"/>
      <c r="N606" s="63"/>
      <c r="O606" s="63"/>
    </row>
    <row r="607" spans="1:15" x14ac:dyDescent="0.25">
      <c r="B607" s="56"/>
      <c r="C607" s="56"/>
      <c r="D607" s="56"/>
      <c r="E607" s="56"/>
      <c r="F607" s="63"/>
      <c r="G607" s="63"/>
      <c r="H607" s="63"/>
      <c r="I607" s="63"/>
      <c r="J607" s="63"/>
      <c r="K607" s="63"/>
      <c r="L607" s="63"/>
      <c r="M607" s="63"/>
      <c r="N607" s="63"/>
      <c r="O607" s="63"/>
    </row>
    <row r="608" spans="1:15" x14ac:dyDescent="0.25">
      <c r="B608" s="56"/>
      <c r="C608" s="56"/>
      <c r="D608" s="56"/>
      <c r="E608" s="56"/>
      <c r="F608" s="63"/>
      <c r="G608" s="63"/>
      <c r="H608" s="63"/>
      <c r="I608" s="63"/>
      <c r="J608" s="63"/>
      <c r="K608" s="63"/>
      <c r="L608" s="63"/>
      <c r="M608" s="63"/>
      <c r="N608" s="63"/>
      <c r="O608" s="63"/>
    </row>
    <row r="609" spans="2:15" x14ac:dyDescent="0.25">
      <c r="B609" s="56"/>
      <c r="C609" s="56"/>
      <c r="D609" s="56"/>
      <c r="E609" s="56"/>
      <c r="F609" s="63"/>
      <c r="G609" s="63"/>
      <c r="H609" s="63"/>
      <c r="I609" s="63"/>
      <c r="J609" s="63"/>
      <c r="K609" s="63"/>
      <c r="L609" s="63"/>
      <c r="M609" s="63"/>
      <c r="N609" s="63"/>
      <c r="O609" s="63"/>
    </row>
    <row r="610" spans="2:15" x14ac:dyDescent="0.25">
      <c r="B610" s="56"/>
      <c r="C610" s="56"/>
      <c r="D610" s="56"/>
      <c r="E610" s="56"/>
      <c r="F610" s="63"/>
      <c r="G610" s="63"/>
      <c r="H610" s="63"/>
      <c r="I610" s="63"/>
      <c r="J610" s="63"/>
      <c r="K610" s="63"/>
      <c r="L610" s="63"/>
      <c r="M610" s="63"/>
      <c r="N610" s="63"/>
      <c r="O610" s="63"/>
    </row>
    <row r="611" spans="2:15" x14ac:dyDescent="0.25">
      <c r="B611" s="56"/>
      <c r="C611" s="56"/>
      <c r="D611" s="56"/>
      <c r="E611" s="56"/>
      <c r="F611" s="63"/>
      <c r="G611" s="63"/>
      <c r="H611" s="63"/>
      <c r="I611" s="63"/>
      <c r="J611" s="63"/>
      <c r="K611" s="63"/>
      <c r="L611" s="63"/>
      <c r="M611" s="63"/>
      <c r="N611" s="63"/>
      <c r="O611" s="63"/>
    </row>
    <row r="612" spans="2:15" x14ac:dyDescent="0.25">
      <c r="B612" s="56"/>
      <c r="C612" s="56"/>
      <c r="D612" s="56"/>
      <c r="E612" s="56"/>
      <c r="F612" s="63"/>
      <c r="G612" s="63"/>
      <c r="H612" s="63"/>
      <c r="I612" s="63"/>
      <c r="J612" s="63"/>
      <c r="K612" s="63"/>
      <c r="L612" s="63"/>
      <c r="M612" s="63"/>
      <c r="N612" s="63"/>
      <c r="O612" s="63"/>
    </row>
    <row r="613" spans="2:15" x14ac:dyDescent="0.25">
      <c r="B613" s="56"/>
      <c r="C613" s="56"/>
      <c r="D613" s="56"/>
      <c r="E613" s="56"/>
      <c r="F613" s="63"/>
      <c r="G613" s="63"/>
      <c r="H613" s="63"/>
      <c r="I613" s="63"/>
      <c r="J613" s="63"/>
      <c r="K613" s="63"/>
      <c r="L613" s="63"/>
      <c r="M613" s="63"/>
      <c r="N613" s="63"/>
      <c r="O613" s="63"/>
    </row>
    <row r="614" spans="2:15" x14ac:dyDescent="0.25">
      <c r="B614" s="56"/>
      <c r="C614" s="56"/>
      <c r="D614" s="56"/>
      <c r="E614" s="56"/>
      <c r="F614" s="63"/>
      <c r="G614" s="63"/>
      <c r="H614" s="63"/>
      <c r="I614" s="63"/>
      <c r="J614" s="63"/>
      <c r="K614" s="63"/>
      <c r="L614" s="63"/>
      <c r="M614" s="63"/>
      <c r="N614" s="63"/>
      <c r="O614" s="63"/>
    </row>
    <row r="615" spans="2:15" x14ac:dyDescent="0.25">
      <c r="B615" s="56"/>
      <c r="C615" s="56"/>
      <c r="D615" s="56"/>
      <c r="E615" s="56"/>
      <c r="F615" s="63"/>
      <c r="G615" s="63"/>
      <c r="H615" s="63"/>
      <c r="I615" s="63"/>
      <c r="J615" s="63"/>
      <c r="K615" s="63"/>
      <c r="L615" s="63"/>
      <c r="M615" s="63"/>
      <c r="N615" s="63"/>
      <c r="O615" s="63"/>
    </row>
    <row r="616" spans="2:15" x14ac:dyDescent="0.25">
      <c r="B616" s="56"/>
      <c r="C616" s="56"/>
      <c r="D616" s="56"/>
      <c r="E616" s="56"/>
      <c r="F616" s="63"/>
      <c r="G616" s="63"/>
      <c r="H616" s="63"/>
      <c r="I616" s="63"/>
      <c r="J616" s="63"/>
      <c r="K616" s="63"/>
      <c r="L616" s="63"/>
      <c r="M616" s="63"/>
      <c r="N616" s="63"/>
      <c r="O616" s="63"/>
    </row>
    <row r="617" spans="2:15" x14ac:dyDescent="0.25">
      <c r="B617" s="56"/>
      <c r="C617" s="56"/>
      <c r="D617" s="56"/>
      <c r="E617" s="56"/>
      <c r="F617" s="63"/>
      <c r="G617" s="63"/>
      <c r="H617" s="63"/>
      <c r="I617" s="63"/>
      <c r="J617" s="63"/>
      <c r="K617" s="63"/>
      <c r="L617" s="63"/>
      <c r="M617" s="63"/>
      <c r="N617" s="63"/>
      <c r="O617" s="63"/>
    </row>
    <row r="618" spans="2:15" x14ac:dyDescent="0.25">
      <c r="B618" s="56"/>
      <c r="C618" s="56"/>
      <c r="D618" s="56"/>
      <c r="E618" s="56"/>
      <c r="F618" s="63"/>
      <c r="G618" s="63"/>
      <c r="H618" s="63"/>
      <c r="I618" s="63"/>
      <c r="J618" s="63"/>
      <c r="K618" s="63"/>
      <c r="L618" s="63"/>
      <c r="M618" s="63"/>
      <c r="N618" s="63"/>
      <c r="O618" s="63"/>
    </row>
    <row r="619" spans="2:15" x14ac:dyDescent="0.25">
      <c r="B619" s="56"/>
      <c r="C619" s="56"/>
      <c r="D619" s="56"/>
      <c r="E619" s="56"/>
      <c r="F619" s="63"/>
      <c r="G619" s="63"/>
      <c r="H619" s="63"/>
      <c r="I619" s="63"/>
      <c r="J619" s="63"/>
      <c r="K619" s="63"/>
      <c r="L619" s="63"/>
      <c r="M619" s="63"/>
      <c r="N619" s="63"/>
      <c r="O619" s="63"/>
    </row>
    <row r="620" spans="2:15" x14ac:dyDescent="0.25"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</row>
    <row r="621" spans="2:15" x14ac:dyDescent="0.25"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</row>
    <row r="622" spans="2:15" x14ac:dyDescent="0.25"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</row>
    <row r="623" spans="2:15" x14ac:dyDescent="0.25"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</row>
    <row r="624" spans="2:15" x14ac:dyDescent="0.25"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</row>
    <row r="625" spans="2:15" x14ac:dyDescent="0.25"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</row>
    <row r="626" spans="2:15" x14ac:dyDescent="0.25"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</row>
    <row r="627" spans="2:15" x14ac:dyDescent="0.25"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</row>
    <row r="628" spans="2:15" x14ac:dyDescent="0.25"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</row>
    <row r="629" spans="2:15" x14ac:dyDescent="0.25"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</row>
    <row r="630" spans="2:15" x14ac:dyDescent="0.25"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</row>
    <row r="631" spans="2:15" x14ac:dyDescent="0.25"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</row>
    <row r="632" spans="2:15" x14ac:dyDescent="0.25"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</row>
    <row r="633" spans="2:15" x14ac:dyDescent="0.25"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</row>
    <row r="634" spans="2:15" x14ac:dyDescent="0.25"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</row>
    <row r="635" spans="2:15" x14ac:dyDescent="0.25"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</row>
    <row r="636" spans="2:15" x14ac:dyDescent="0.25"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</row>
    <row r="637" spans="2:15" x14ac:dyDescent="0.25"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</row>
    <row r="638" spans="2:15" x14ac:dyDescent="0.25"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</row>
    <row r="639" spans="2:15" x14ac:dyDescent="0.25"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</row>
    <row r="640" spans="2:15" x14ac:dyDescent="0.25"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</row>
    <row r="641" spans="2:15" x14ac:dyDescent="0.25"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</row>
    <row r="642" spans="2:15" x14ac:dyDescent="0.25"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</row>
    <row r="643" spans="2:15" x14ac:dyDescent="0.25"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</row>
    <row r="644" spans="2:15" x14ac:dyDescent="0.25"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</row>
    <row r="645" spans="2:15" x14ac:dyDescent="0.25"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</row>
    <row r="646" spans="2:15" x14ac:dyDescent="0.25"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</row>
    <row r="647" spans="2:15" x14ac:dyDescent="0.25"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</row>
    <row r="648" spans="2:15" x14ac:dyDescent="0.25"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</row>
    <row r="649" spans="2:15" x14ac:dyDescent="0.25"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</row>
    <row r="650" spans="2:15" x14ac:dyDescent="0.25"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</row>
    <row r="651" spans="2:15" x14ac:dyDescent="0.25"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</row>
    <row r="652" spans="2:15" x14ac:dyDescent="0.25"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</row>
    <row r="653" spans="2:15" x14ac:dyDescent="0.25"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</row>
    <row r="654" spans="2:15" x14ac:dyDescent="0.25"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</row>
    <row r="655" spans="2:15" x14ac:dyDescent="0.25"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</row>
    <row r="656" spans="2:15" x14ac:dyDescent="0.25"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</row>
    <row r="657" spans="2:15" x14ac:dyDescent="0.25"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</row>
    <row r="658" spans="2:15" x14ac:dyDescent="0.25"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</row>
  </sheetData>
  <mergeCells count="1">
    <mergeCell ref="B581:O581"/>
  </mergeCells>
  <hyperlinks>
    <hyperlink ref="K441" location="'Debt Schedule'!E188" display="'Debt Schedule'!E188" xr:uid="{730738E9-1194-4D4B-92D8-16A22E746E39}"/>
    <hyperlink ref="L441:O441" location="'Debt Schedule'!E188" display="'Debt Schedule'!E188" xr:uid="{8792893E-3771-4458-BC6E-E7FA51A52269}"/>
  </hyperlinks>
  <pageMargins left="0.7" right="0.7" top="0.75" bottom="0.75" header="0.3" footer="0.3"/>
  <pageSetup orientation="portrait" r:id="rId1"/>
  <ignoredErrors>
    <ignoredError sqref="K526:O526 K105:O105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 moveWithCells="1">
                  <from>
                    <xdr:col>2</xdr:col>
                    <xdr:colOff>4572000</xdr:colOff>
                    <xdr:row>9</xdr:row>
                    <xdr:rowOff>0</xdr:rowOff>
                  </from>
                  <to>
                    <xdr:col>4</xdr:col>
                    <xdr:colOff>209550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Drop Down 2">
              <controlPr defaultSize="0" autoLine="0" autoPict="0">
                <anchor moveWithCells="1">
                  <from>
                    <xdr:col>3</xdr:col>
                    <xdr:colOff>0</xdr:colOff>
                    <xdr:row>14</xdr:row>
                    <xdr:rowOff>180975</xdr:rowOff>
                  </from>
                  <to>
                    <xdr:col>4</xdr:col>
                    <xdr:colOff>180975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Drop Down 3">
              <controlPr defaultSize="0" autoLine="0" autoPict="0">
                <anchor moveWithCells="1">
                  <from>
                    <xdr:col>3</xdr:col>
                    <xdr:colOff>0</xdr:colOff>
                    <xdr:row>21</xdr:row>
                    <xdr:rowOff>0</xdr:rowOff>
                  </from>
                  <to>
                    <xdr:col>4</xdr:col>
                    <xdr:colOff>209550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Drop Down 4">
              <controlPr defaultSize="0" autoLine="0" autoPict="0">
                <anchor moveWithCells="1">
                  <from>
                    <xdr:col>3</xdr:col>
                    <xdr:colOff>9525</xdr:colOff>
                    <xdr:row>26</xdr:row>
                    <xdr:rowOff>180975</xdr:rowOff>
                  </from>
                  <to>
                    <xdr:col>4</xdr:col>
                    <xdr:colOff>200025</xdr:colOff>
                    <xdr:row>78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E069-9664-4E47-8E21-1F8786A42055}">
  <dimension ref="A3:P588"/>
  <sheetViews>
    <sheetView topLeftCell="A139" zoomScale="110" zoomScaleNormal="110" workbookViewId="0">
      <selection activeCell="E583" sqref="E583"/>
    </sheetView>
  </sheetViews>
  <sheetFormatPr defaultRowHeight="15" x14ac:dyDescent="0.25"/>
  <cols>
    <col min="1" max="2" width="4.5703125" customWidth="1"/>
    <col min="3" max="3" width="25.28515625" customWidth="1"/>
    <col min="4" max="4" width="16" bestFit="1" customWidth="1"/>
    <col min="5" max="5" width="14.140625" bestFit="1" customWidth="1"/>
    <col min="6" max="6" width="18.42578125" bestFit="1" customWidth="1"/>
    <col min="7" max="7" width="21.28515625" bestFit="1" customWidth="1"/>
    <col min="8" max="10" width="14.85546875" bestFit="1" customWidth="1"/>
    <col min="12" max="12" width="20.140625" bestFit="1" customWidth="1"/>
    <col min="13" max="14" width="10.85546875" bestFit="1" customWidth="1"/>
    <col min="15" max="15" width="27.85546875" bestFit="1" customWidth="1"/>
    <col min="16" max="16" width="14.85546875" bestFit="1" customWidth="1"/>
  </cols>
  <sheetData>
    <row r="3" spans="1:15" x14ac:dyDescent="0.25">
      <c r="A3" s="2" t="s">
        <v>208</v>
      </c>
      <c r="B3" s="2"/>
    </row>
    <row r="5" spans="1:15" x14ac:dyDescent="0.25">
      <c r="B5" t="s">
        <v>209</v>
      </c>
    </row>
    <row r="7" spans="1:15" x14ac:dyDescent="0.25">
      <c r="C7" s="16" t="s">
        <v>210</v>
      </c>
      <c r="D7" s="16" t="s">
        <v>211</v>
      </c>
      <c r="E7" s="16" t="s">
        <v>212</v>
      </c>
      <c r="F7" s="16" t="s">
        <v>213</v>
      </c>
      <c r="G7" s="16" t="s">
        <v>214</v>
      </c>
      <c r="H7" s="16" t="s">
        <v>215</v>
      </c>
      <c r="L7" s="16" t="s">
        <v>216</v>
      </c>
      <c r="M7" s="16" t="s">
        <v>217</v>
      </c>
      <c r="N7" s="16" t="s">
        <v>218</v>
      </c>
      <c r="O7" s="16" t="s">
        <v>219</v>
      </c>
    </row>
    <row r="8" spans="1:15" x14ac:dyDescent="0.25">
      <c r="C8" s="24">
        <v>2026</v>
      </c>
      <c r="D8" s="17">
        <v>560.29</v>
      </c>
      <c r="E8" s="25">
        <v>6.6900000000000001E-2</v>
      </c>
      <c r="F8" s="17">
        <f>SUM(O8:O10)</f>
        <v>26.198269109589042</v>
      </c>
      <c r="G8" s="17">
        <v>309.39999999999998</v>
      </c>
      <c r="H8" s="17">
        <f>D8-G8</f>
        <v>250.89</v>
      </c>
      <c r="I8" s="4"/>
      <c r="J8" s="4"/>
      <c r="K8" s="4"/>
      <c r="L8" s="17" t="s">
        <v>220</v>
      </c>
      <c r="M8" s="18">
        <v>151</v>
      </c>
      <c r="N8" s="17">
        <v>560.29</v>
      </c>
      <c r="O8" s="17">
        <f>N8*$E$8*(M8/365)</f>
        <v>15.506831646575344</v>
      </c>
    </row>
    <row r="9" spans="1:15" x14ac:dyDescent="0.25">
      <c r="C9" s="18">
        <v>2027</v>
      </c>
      <c r="D9" s="17">
        <f>H8</f>
        <v>250.89</v>
      </c>
      <c r="E9" s="25">
        <v>6.6900000000000001E-2</v>
      </c>
      <c r="F9" s="17">
        <f>SUM(O11:O12)</f>
        <v>7.6335172767123298</v>
      </c>
      <c r="G9" s="17">
        <f>250.89</f>
        <v>250.89</v>
      </c>
      <c r="H9" s="17">
        <f>D9-G9</f>
        <v>0</v>
      </c>
      <c r="I9" s="4"/>
      <c r="J9" s="4"/>
      <c r="K9" s="4"/>
      <c r="L9" s="17" t="s">
        <v>221</v>
      </c>
      <c r="M9" s="18">
        <v>30</v>
      </c>
      <c r="N9" s="17">
        <v>405.59</v>
      </c>
      <c r="O9" s="17">
        <f>N9*$E$8*(M9/365)</f>
        <v>2.2301893972602738</v>
      </c>
    </row>
    <row r="10" spans="1:15" ht="15.75" thickBot="1" x14ac:dyDescent="0.3">
      <c r="C10" s="13"/>
      <c r="D10" s="4"/>
      <c r="E10" s="4"/>
      <c r="F10" s="4"/>
      <c r="G10" s="4"/>
      <c r="H10" s="4"/>
      <c r="I10" s="4"/>
      <c r="J10" s="4"/>
      <c r="K10" s="4"/>
      <c r="L10" s="20" t="s">
        <v>222</v>
      </c>
      <c r="M10" s="21">
        <v>184</v>
      </c>
      <c r="N10" s="20">
        <v>250.89</v>
      </c>
      <c r="O10" s="20">
        <f>N10*$E$8*(M10/365)</f>
        <v>8.4612480657534253</v>
      </c>
    </row>
    <row r="11" spans="1:15" ht="15.75" thickTop="1" x14ac:dyDescent="0.25">
      <c r="C11" s="13"/>
      <c r="D11" s="4"/>
      <c r="E11" s="4"/>
      <c r="F11" s="4"/>
      <c r="G11" s="4"/>
      <c r="H11" s="4"/>
      <c r="I11" s="4"/>
      <c r="J11" s="4"/>
      <c r="K11" s="4"/>
      <c r="L11" s="22" t="s">
        <v>223</v>
      </c>
      <c r="M11" s="28">
        <v>151</v>
      </c>
      <c r="N11" s="22">
        <v>250.89</v>
      </c>
      <c r="O11" s="23">
        <f>N11*$E$9*(M11/365)</f>
        <v>6.9437416191780832</v>
      </c>
    </row>
    <row r="12" spans="1:15" x14ac:dyDescent="0.25">
      <c r="C12" s="4"/>
      <c r="D12" s="4"/>
      <c r="E12" s="4"/>
      <c r="F12" s="4"/>
      <c r="G12" s="4"/>
      <c r="H12" s="4"/>
      <c r="I12" s="4"/>
      <c r="J12" s="4"/>
      <c r="K12" s="4"/>
      <c r="L12" s="17" t="s">
        <v>224</v>
      </c>
      <c r="M12" s="18">
        <v>30</v>
      </c>
      <c r="N12" s="17">
        <v>125.44499999999999</v>
      </c>
      <c r="O12" s="17">
        <f>N12*$E$9*(M12/365)</f>
        <v>0.68977565753424652</v>
      </c>
    </row>
    <row r="13" spans="1:15" x14ac:dyDescent="0.25">
      <c r="A13" s="3"/>
      <c r="B13" s="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25">
      <c r="B14" t="s">
        <v>225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5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5">
      <c r="C16" s="26" t="s">
        <v>210</v>
      </c>
      <c r="D16" s="26" t="s">
        <v>226</v>
      </c>
      <c r="E16" s="26" t="s">
        <v>212</v>
      </c>
      <c r="F16" s="26" t="s">
        <v>227</v>
      </c>
      <c r="G16" s="26" t="s">
        <v>214</v>
      </c>
      <c r="H16" s="26" t="s">
        <v>228</v>
      </c>
      <c r="I16" s="4"/>
      <c r="J16" s="4"/>
      <c r="K16" s="4"/>
      <c r="L16" s="16" t="s">
        <v>216</v>
      </c>
      <c r="M16" s="16" t="s">
        <v>217</v>
      </c>
      <c r="N16" s="16" t="s">
        <v>218</v>
      </c>
      <c r="O16" s="16" t="s">
        <v>219</v>
      </c>
    </row>
    <row r="17" spans="1:15" x14ac:dyDescent="0.25">
      <c r="C17" s="18">
        <v>2026</v>
      </c>
      <c r="D17" s="17">
        <v>282.64</v>
      </c>
      <c r="E17" s="27">
        <v>6.6900000000000001E-2</v>
      </c>
      <c r="F17" s="17">
        <f>SUM(O17:O19)</f>
        <v>13.754075473972604</v>
      </c>
      <c r="G17" s="17">
        <v>141.32</v>
      </c>
      <c r="H17" s="17">
        <f>D17-G17</f>
        <v>141.32</v>
      </c>
      <c r="I17" s="4"/>
      <c r="J17" s="4"/>
      <c r="K17" s="4"/>
      <c r="L17" s="17" t="s">
        <v>220</v>
      </c>
      <c r="M17" s="18">
        <v>151</v>
      </c>
      <c r="N17" s="17">
        <v>282.64</v>
      </c>
      <c r="O17" s="17">
        <f>N17*$E$17*(M17/365)</f>
        <v>7.8224685369863014</v>
      </c>
    </row>
    <row r="18" spans="1:15" x14ac:dyDescent="0.25">
      <c r="C18" s="18">
        <v>2027</v>
      </c>
      <c r="D18" s="17">
        <f>H17</f>
        <v>141.32</v>
      </c>
      <c r="E18" s="27">
        <v>6.6900000000000001E-2</v>
      </c>
      <c r="F18" s="17">
        <f>SUM(O20:O21)</f>
        <v>4.2997674739726026</v>
      </c>
      <c r="G18" s="17">
        <v>141.32</v>
      </c>
      <c r="H18" s="17">
        <f>D18-G18</f>
        <v>0</v>
      </c>
      <c r="I18" s="4"/>
      <c r="J18" s="4"/>
      <c r="K18" s="4"/>
      <c r="L18" s="17" t="s">
        <v>221</v>
      </c>
      <c r="M18" s="18">
        <v>30</v>
      </c>
      <c r="N18" s="17">
        <v>211.98</v>
      </c>
      <c r="O18" s="17">
        <f>N18*$E$17*(M18/365)</f>
        <v>1.1655996164383562</v>
      </c>
    </row>
    <row r="19" spans="1:15" ht="15.75" thickBot="1" x14ac:dyDescent="0.3">
      <c r="C19" s="4"/>
      <c r="D19" s="4"/>
      <c r="E19" s="4"/>
      <c r="F19" s="4"/>
      <c r="G19" s="4"/>
      <c r="H19" s="4"/>
      <c r="I19" s="4"/>
      <c r="J19" s="4"/>
      <c r="K19" s="4"/>
      <c r="L19" s="20" t="s">
        <v>222</v>
      </c>
      <c r="M19" s="21">
        <v>184</v>
      </c>
      <c r="N19" s="20">
        <v>141.32</v>
      </c>
      <c r="O19" s="17">
        <f>N19*$E$17*(M19/365)</f>
        <v>4.7660073205479456</v>
      </c>
    </row>
    <row r="20" spans="1:15" ht="15.75" thickTop="1" x14ac:dyDescent="0.25">
      <c r="C20" s="4"/>
      <c r="D20" s="4"/>
      <c r="E20" s="4"/>
      <c r="F20" s="4"/>
      <c r="G20" s="4"/>
      <c r="H20" s="4"/>
      <c r="I20" s="4"/>
      <c r="J20" s="4"/>
      <c r="K20" s="4"/>
      <c r="L20" s="22" t="s">
        <v>223</v>
      </c>
      <c r="M20" s="28">
        <v>151</v>
      </c>
      <c r="N20" s="19">
        <v>141.32</v>
      </c>
      <c r="O20" s="17">
        <f>N20*$E$18*(M20/365)</f>
        <v>3.9112342684931507</v>
      </c>
    </row>
    <row r="21" spans="1:15" x14ac:dyDescent="0.25">
      <c r="C21" s="4"/>
      <c r="D21" s="4"/>
      <c r="E21" s="4"/>
      <c r="F21" s="4"/>
      <c r="G21" s="4"/>
      <c r="H21" s="4"/>
      <c r="I21" s="4"/>
      <c r="J21" s="4"/>
      <c r="K21" s="4"/>
      <c r="L21" s="17" t="s">
        <v>224</v>
      </c>
      <c r="M21" s="18">
        <v>30</v>
      </c>
      <c r="N21" s="17">
        <v>70.66</v>
      </c>
      <c r="O21" s="17">
        <f>N21*$E$18*(M21/365)</f>
        <v>0.38853320547945203</v>
      </c>
    </row>
    <row r="22" spans="1:15" x14ac:dyDescent="0.25">
      <c r="A22" s="3"/>
      <c r="B22" s="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25">
      <c r="B23" t="s">
        <v>229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5">
      <c r="C25" s="26" t="s">
        <v>210</v>
      </c>
      <c r="D25" s="26" t="s">
        <v>226</v>
      </c>
      <c r="E25" s="26" t="s">
        <v>212</v>
      </c>
      <c r="F25" s="26" t="s">
        <v>227</v>
      </c>
      <c r="G25" s="26" t="s">
        <v>214</v>
      </c>
      <c r="H25" s="26" t="s">
        <v>228</v>
      </c>
      <c r="I25" s="4"/>
      <c r="J25" s="4"/>
      <c r="K25" s="4"/>
      <c r="L25" s="16" t="s">
        <v>216</v>
      </c>
      <c r="M25" s="16" t="s">
        <v>217</v>
      </c>
      <c r="N25" s="16" t="s">
        <v>218</v>
      </c>
      <c r="O25" s="16" t="s">
        <v>219</v>
      </c>
    </row>
    <row r="26" spans="1:15" x14ac:dyDescent="0.25">
      <c r="C26" s="18">
        <v>2026</v>
      </c>
      <c r="D26" s="17">
        <v>170.5</v>
      </c>
      <c r="E26" s="27">
        <v>6.6900000000000001E-2</v>
      </c>
      <c r="F26" s="17">
        <f>SUM(O26:O28)</f>
        <v>9.7257167178082184</v>
      </c>
      <c r="G26" s="17">
        <v>46.08</v>
      </c>
      <c r="H26" s="17">
        <f>D26-G26</f>
        <v>124.42</v>
      </c>
      <c r="I26" s="4"/>
      <c r="J26" s="4"/>
      <c r="K26" s="4"/>
      <c r="L26" s="17" t="s">
        <v>220</v>
      </c>
      <c r="M26" s="18">
        <v>151</v>
      </c>
      <c r="N26" s="17">
        <v>170.5</v>
      </c>
      <c r="O26" s="17">
        <f>N26*$E$26*(M26/365)</f>
        <v>4.718832739726027</v>
      </c>
    </row>
    <row r="27" spans="1:15" x14ac:dyDescent="0.25">
      <c r="C27" s="18">
        <v>2027</v>
      </c>
      <c r="D27" s="17">
        <f>H26</f>
        <v>124.42</v>
      </c>
      <c r="E27" s="27">
        <v>6.6900000000000001E-2</v>
      </c>
      <c r="F27" s="17">
        <f>SUM(O29:O31)</f>
        <v>5.9703796109589042</v>
      </c>
      <c r="G27" s="17">
        <v>64.52</v>
      </c>
      <c r="H27" s="17">
        <f>D27-G27</f>
        <v>59.900000000000006</v>
      </c>
      <c r="I27" s="4"/>
      <c r="J27" s="4"/>
      <c r="K27" s="4"/>
      <c r="L27" s="17" t="s">
        <v>221</v>
      </c>
      <c r="M27" s="18">
        <v>30</v>
      </c>
      <c r="N27" s="17">
        <v>147.46</v>
      </c>
      <c r="O27" s="17">
        <f>N27*$E$26*(M27/365)</f>
        <v>0.81082799999999999</v>
      </c>
    </row>
    <row r="28" spans="1:15" ht="15.75" thickBot="1" x14ac:dyDescent="0.3">
      <c r="C28" s="18">
        <v>2028</v>
      </c>
      <c r="D28" s="17">
        <f>H27</f>
        <v>59.900000000000006</v>
      </c>
      <c r="E28" s="27">
        <v>6.6900000000000001E-2</v>
      </c>
      <c r="F28" s="17">
        <f>SUM(O32:O33)</f>
        <v>1.8098007945205481</v>
      </c>
      <c r="G28" s="17">
        <v>59.9</v>
      </c>
      <c r="H28" s="17">
        <f>D28-G28</f>
        <v>0</v>
      </c>
      <c r="I28" s="4"/>
      <c r="J28" s="4"/>
      <c r="K28" s="4"/>
      <c r="L28" s="20" t="s">
        <v>222</v>
      </c>
      <c r="M28" s="21">
        <v>184</v>
      </c>
      <c r="N28" s="17">
        <v>124.42</v>
      </c>
      <c r="O28" s="17">
        <f>N28*$E$26*(M28/365)</f>
        <v>4.1960559780821924</v>
      </c>
    </row>
    <row r="29" spans="1:15" ht="15.75" thickTop="1" x14ac:dyDescent="0.25">
      <c r="C29" s="4"/>
      <c r="D29" s="4"/>
      <c r="E29" s="4"/>
      <c r="F29" s="4"/>
      <c r="G29" s="4"/>
      <c r="H29" s="4"/>
      <c r="I29" s="4"/>
      <c r="J29" s="4"/>
      <c r="K29" s="4"/>
      <c r="L29" s="22" t="s">
        <v>223</v>
      </c>
      <c r="M29" s="18">
        <v>151</v>
      </c>
      <c r="N29" s="17">
        <v>124.42</v>
      </c>
      <c r="O29" s="17">
        <f>N29*$E$27*(M29/365)</f>
        <v>3.4435024602739728</v>
      </c>
    </row>
    <row r="30" spans="1:15" x14ac:dyDescent="0.25">
      <c r="C30" s="4"/>
      <c r="D30" s="4"/>
      <c r="E30" s="4"/>
      <c r="F30" s="4"/>
      <c r="G30" s="4"/>
      <c r="H30" s="4"/>
      <c r="I30" s="4"/>
      <c r="J30" s="4"/>
      <c r="K30" s="4"/>
      <c r="L30" s="17" t="s">
        <v>224</v>
      </c>
      <c r="M30" s="18">
        <v>30</v>
      </c>
      <c r="N30" s="17">
        <v>92.16</v>
      </c>
      <c r="O30" s="17">
        <f>N30*$E$27*(M30/365)</f>
        <v>0.50675375342465756</v>
      </c>
    </row>
    <row r="31" spans="1:15" ht="15.75" thickBot="1" x14ac:dyDescent="0.3">
      <c r="C31" s="4"/>
      <c r="D31" s="4"/>
      <c r="E31" s="4"/>
      <c r="F31" s="4"/>
      <c r="G31" s="4"/>
      <c r="H31" s="4"/>
      <c r="I31" s="4"/>
      <c r="J31" s="4"/>
      <c r="K31" s="4"/>
      <c r="L31" s="20" t="s">
        <v>230</v>
      </c>
      <c r="M31" s="21">
        <v>184</v>
      </c>
      <c r="N31" s="20">
        <v>59.9</v>
      </c>
      <c r="O31" s="20">
        <f>N31*$E$27*(M31/365)</f>
        <v>2.0201233972602743</v>
      </c>
    </row>
    <row r="32" spans="1:15" ht="15.75" thickTop="1" x14ac:dyDescent="0.25">
      <c r="C32" s="4"/>
      <c r="D32" s="4"/>
      <c r="E32" s="4"/>
      <c r="F32" s="4"/>
      <c r="G32" s="4"/>
      <c r="H32" s="4"/>
      <c r="I32" s="4"/>
      <c r="J32" s="4"/>
      <c r="K32" s="4"/>
      <c r="L32" s="29" t="s">
        <v>231</v>
      </c>
      <c r="M32" s="30">
        <v>151</v>
      </c>
      <c r="N32" s="29">
        <v>59.9</v>
      </c>
      <c r="O32" s="29">
        <f>N32*$E$28*(M32/365)</f>
        <v>1.6578186575342468</v>
      </c>
    </row>
    <row r="33" spans="1:15" x14ac:dyDescent="0.25">
      <c r="C33" s="4"/>
      <c r="D33" s="4"/>
      <c r="E33" s="4"/>
      <c r="F33" s="4"/>
      <c r="G33" s="4"/>
      <c r="H33" s="4"/>
      <c r="I33" s="4"/>
      <c r="J33" s="4"/>
      <c r="K33" s="4"/>
      <c r="L33" s="23" t="s">
        <v>232</v>
      </c>
      <c r="M33" s="31">
        <v>30</v>
      </c>
      <c r="N33" s="23">
        <v>27.64</v>
      </c>
      <c r="O33" s="22">
        <f>N33*$E$28*(M33/365)</f>
        <v>0.15198213698630136</v>
      </c>
    </row>
    <row r="34" spans="1:1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5"/>
      <c r="M34" s="5"/>
      <c r="N34" s="5"/>
      <c r="O34" s="5"/>
    </row>
    <row r="35" spans="1:15" x14ac:dyDescent="0.25">
      <c r="B35" t="s">
        <v>233</v>
      </c>
    </row>
    <row r="37" spans="1:15" x14ac:dyDescent="0.25">
      <c r="C37" s="26" t="s">
        <v>210</v>
      </c>
      <c r="D37" s="26" t="s">
        <v>226</v>
      </c>
      <c r="E37" s="26" t="s">
        <v>212</v>
      </c>
      <c r="F37" s="26" t="s">
        <v>227</v>
      </c>
      <c r="G37" s="26" t="s">
        <v>214</v>
      </c>
      <c r="H37" s="26" t="s">
        <v>215</v>
      </c>
      <c r="L37" s="16" t="s">
        <v>216</v>
      </c>
      <c r="M37" s="16" t="s">
        <v>217</v>
      </c>
      <c r="N37" s="16" t="s">
        <v>218</v>
      </c>
      <c r="O37" s="16" t="s">
        <v>219</v>
      </c>
    </row>
    <row r="38" spans="1:15" x14ac:dyDescent="0.25">
      <c r="C38" s="32">
        <v>2026</v>
      </c>
      <c r="D38" s="32">
        <v>2400</v>
      </c>
      <c r="E38" s="33">
        <v>6.6900000000000001E-2</v>
      </c>
      <c r="F38" s="36">
        <f>SUM(O38:O40)</f>
        <v>138.67545205479453</v>
      </c>
      <c r="G38" s="32">
        <v>600</v>
      </c>
      <c r="H38" s="32">
        <f>D38-G38</f>
        <v>1800</v>
      </c>
      <c r="L38" s="17" t="s">
        <v>220</v>
      </c>
      <c r="M38" s="18">
        <v>151</v>
      </c>
      <c r="N38" s="32">
        <v>2400</v>
      </c>
      <c r="O38" s="36">
        <f>N38*$E$38*(M38/365)</f>
        <v>66.423452054794524</v>
      </c>
    </row>
    <row r="39" spans="1:15" x14ac:dyDescent="0.25">
      <c r="C39" s="32">
        <v>2027</v>
      </c>
      <c r="D39" s="32">
        <f>H38</f>
        <v>1800</v>
      </c>
      <c r="E39" s="33">
        <v>6.6900000000000001E-2</v>
      </c>
      <c r="F39" s="36">
        <f>SUM(O41:O43)</f>
        <v>98.535452054794519</v>
      </c>
      <c r="G39" s="32">
        <v>600</v>
      </c>
      <c r="H39" s="32">
        <f>D39-G39</f>
        <v>1200</v>
      </c>
      <c r="L39" s="17" t="s">
        <v>221</v>
      </c>
      <c r="M39" s="18">
        <v>30</v>
      </c>
      <c r="N39" s="32">
        <v>2100</v>
      </c>
      <c r="O39" s="36">
        <f>N39*$E$38*(M39/365)</f>
        <v>11.547123287671234</v>
      </c>
    </row>
    <row r="40" spans="1:15" ht="15.75" thickBot="1" x14ac:dyDescent="0.3">
      <c r="C40" s="32">
        <v>2028</v>
      </c>
      <c r="D40" s="32">
        <f>H39</f>
        <v>1200</v>
      </c>
      <c r="E40" s="33">
        <v>6.6900000000000001E-2</v>
      </c>
      <c r="F40" s="36">
        <f>SUM(O44:O46)</f>
        <v>58.395452054794525</v>
      </c>
      <c r="G40" s="32">
        <v>600</v>
      </c>
      <c r="H40" s="32">
        <f>D40-G40</f>
        <v>600</v>
      </c>
      <c r="L40" s="20" t="s">
        <v>222</v>
      </c>
      <c r="M40" s="21">
        <v>184</v>
      </c>
      <c r="N40" s="35">
        <v>1800</v>
      </c>
      <c r="O40" s="37">
        <f>N40*$E$38*(M40/365)</f>
        <v>60.704876712328776</v>
      </c>
    </row>
    <row r="41" spans="1:15" ht="15.75" thickTop="1" x14ac:dyDescent="0.25">
      <c r="C41" s="32">
        <v>2029</v>
      </c>
      <c r="D41" s="32">
        <f>H40</f>
        <v>600</v>
      </c>
      <c r="E41" s="33">
        <v>6.6900000000000001E-2</v>
      </c>
      <c r="F41" s="36">
        <f>SUM(O47:O48)</f>
        <v>18.255452054794521</v>
      </c>
      <c r="G41" s="32">
        <v>600</v>
      </c>
      <c r="H41" s="32">
        <f>D41-G41</f>
        <v>0</v>
      </c>
      <c r="L41" s="22" t="s">
        <v>223</v>
      </c>
      <c r="M41" s="18">
        <v>151</v>
      </c>
      <c r="N41" s="34">
        <v>1800</v>
      </c>
      <c r="O41" s="38">
        <f>N41*$E$39*(M41/365)</f>
        <v>49.817589041095893</v>
      </c>
    </row>
    <row r="42" spans="1:15" x14ac:dyDescent="0.25">
      <c r="L42" s="17" t="s">
        <v>224</v>
      </c>
      <c r="M42" s="18">
        <v>30</v>
      </c>
      <c r="N42" s="32">
        <v>1500</v>
      </c>
      <c r="O42" s="36">
        <f>N42*$E$39*(M42/365)</f>
        <v>8.2479452054794518</v>
      </c>
    </row>
    <row r="43" spans="1:15" ht="15.75" thickBot="1" x14ac:dyDescent="0.3">
      <c r="L43" s="20" t="s">
        <v>230</v>
      </c>
      <c r="M43" s="21">
        <v>184</v>
      </c>
      <c r="N43" s="35">
        <v>1200</v>
      </c>
      <c r="O43" s="37">
        <f>N43*$E$39*(M43/365)</f>
        <v>40.469917808219179</v>
      </c>
    </row>
    <row r="44" spans="1:15" ht="15.75" thickTop="1" x14ac:dyDescent="0.25">
      <c r="L44" s="29" t="s">
        <v>231</v>
      </c>
      <c r="M44" s="30">
        <v>151</v>
      </c>
      <c r="N44" s="34">
        <v>1200</v>
      </c>
      <c r="O44" s="38">
        <f>N44*$E$40*(M44/365)</f>
        <v>33.211726027397262</v>
      </c>
    </row>
    <row r="45" spans="1:15" x14ac:dyDescent="0.25">
      <c r="L45" s="23" t="s">
        <v>232</v>
      </c>
      <c r="M45" s="31">
        <v>30</v>
      </c>
      <c r="N45" s="32">
        <v>900</v>
      </c>
      <c r="O45" s="36">
        <f>N45*$E$40*(M45/365)</f>
        <v>4.9487671232876709</v>
      </c>
    </row>
    <row r="46" spans="1:15" ht="15.75" thickBot="1" x14ac:dyDescent="0.3">
      <c r="L46" s="20" t="s">
        <v>230</v>
      </c>
      <c r="M46" s="21">
        <v>184</v>
      </c>
      <c r="N46" s="35">
        <v>600</v>
      </c>
      <c r="O46" s="37">
        <f>N46*$E$40*(M46/365)</f>
        <v>20.23495890410959</v>
      </c>
    </row>
    <row r="47" spans="1:15" ht="15.75" thickTop="1" x14ac:dyDescent="0.25">
      <c r="L47" s="29" t="s">
        <v>231</v>
      </c>
      <c r="M47" s="30">
        <v>151</v>
      </c>
      <c r="N47" s="34">
        <v>600</v>
      </c>
      <c r="O47" s="38">
        <f>N47*$E$41*(M47/365)</f>
        <v>16.605863013698631</v>
      </c>
    </row>
    <row r="48" spans="1:15" ht="15.75" thickBot="1" x14ac:dyDescent="0.3">
      <c r="L48" s="20" t="s">
        <v>232</v>
      </c>
      <c r="M48" s="21">
        <v>30</v>
      </c>
      <c r="N48" s="35">
        <v>300</v>
      </c>
      <c r="O48" s="37">
        <f>N48*$E$41*(M48/365)</f>
        <v>1.6495890410958904</v>
      </c>
    </row>
    <row r="49" spans="1:15" ht="15.75" thickTop="1" x14ac:dyDescent="0.25">
      <c r="L49" s="9"/>
      <c r="M49" s="52"/>
      <c r="N49" s="8"/>
      <c r="O49" s="53"/>
    </row>
    <row r="50" spans="1:15" x14ac:dyDescent="0.25">
      <c r="B50" s="8" t="s">
        <v>281</v>
      </c>
      <c r="C50" s="8"/>
      <c r="D50" s="8"/>
      <c r="E50" s="8"/>
      <c r="F50" s="8"/>
      <c r="G50" s="8"/>
      <c r="L50" s="9"/>
      <c r="M50" s="52"/>
      <c r="N50" s="8"/>
      <c r="O50" s="53"/>
    </row>
    <row r="51" spans="1:15" x14ac:dyDescent="0.25">
      <c r="B51" s="8"/>
      <c r="C51" s="51" t="s">
        <v>210</v>
      </c>
      <c r="D51" s="51" t="s">
        <v>211</v>
      </c>
      <c r="E51" s="51" t="s">
        <v>57</v>
      </c>
      <c r="F51" s="51" t="s">
        <v>280</v>
      </c>
      <c r="G51" s="51" t="s">
        <v>215</v>
      </c>
      <c r="L51" s="9"/>
      <c r="M51" s="52"/>
      <c r="N51" s="8"/>
      <c r="O51" s="53"/>
    </row>
    <row r="52" spans="1:15" x14ac:dyDescent="0.25">
      <c r="C52" s="32">
        <v>2026</v>
      </c>
      <c r="D52" s="36">
        <f>D8+D17+D26+D38</f>
        <v>3413.43</v>
      </c>
      <c r="E52" s="36">
        <f>F8+F17+F26+F38</f>
        <v>188.3535133561644</v>
      </c>
      <c r="F52" s="36">
        <f>G8+G17+G26+G38</f>
        <v>1096.8</v>
      </c>
      <c r="G52" s="36">
        <f>H8+H17+H26+H38</f>
        <v>2316.63</v>
      </c>
      <c r="L52" s="9"/>
      <c r="M52" s="52"/>
      <c r="N52" s="8"/>
      <c r="O52" s="53"/>
    </row>
    <row r="53" spans="1:15" x14ac:dyDescent="0.25">
      <c r="C53" s="32">
        <f>C52+1</f>
        <v>2027</v>
      </c>
      <c r="D53" s="36">
        <f>D9+D18+D27+D39</f>
        <v>2316.63</v>
      </c>
      <c r="E53" s="36">
        <f t="shared" ref="E53:G56" si="0">F9+F18+F27+F39</f>
        <v>116.43911641643835</v>
      </c>
      <c r="F53" s="36">
        <f t="shared" si="0"/>
        <v>1056.73</v>
      </c>
      <c r="G53" s="36">
        <f t="shared" si="0"/>
        <v>1259.9000000000001</v>
      </c>
      <c r="L53" s="9"/>
      <c r="M53" s="52"/>
      <c r="N53" s="8"/>
      <c r="O53" s="53"/>
    </row>
    <row r="54" spans="1:15" x14ac:dyDescent="0.25">
      <c r="C54" s="32">
        <f>C53+1</f>
        <v>2028</v>
      </c>
      <c r="D54" s="36">
        <f>D10+D19+D28+D40</f>
        <v>1259.9000000000001</v>
      </c>
      <c r="E54" s="36">
        <f t="shared" si="0"/>
        <v>60.205252849315073</v>
      </c>
      <c r="F54" s="36">
        <f t="shared" si="0"/>
        <v>659.9</v>
      </c>
      <c r="G54" s="36">
        <f t="shared" si="0"/>
        <v>600</v>
      </c>
      <c r="L54" s="9"/>
      <c r="M54" s="52"/>
      <c r="N54" s="8"/>
      <c r="O54" s="53"/>
    </row>
    <row r="55" spans="1:15" x14ac:dyDescent="0.25">
      <c r="C55" s="32">
        <f>C54+1</f>
        <v>2029</v>
      </c>
      <c r="D55" s="36">
        <f>D11+D20+D29+D41</f>
        <v>600</v>
      </c>
      <c r="E55" s="36">
        <f t="shared" si="0"/>
        <v>18.255452054794521</v>
      </c>
      <c r="F55" s="36">
        <f t="shared" si="0"/>
        <v>600</v>
      </c>
      <c r="G55" s="36">
        <f t="shared" si="0"/>
        <v>0</v>
      </c>
      <c r="L55" s="9"/>
      <c r="M55" s="52"/>
      <c r="N55" s="8"/>
      <c r="O55" s="53"/>
    </row>
    <row r="56" spans="1:15" x14ac:dyDescent="0.25">
      <c r="C56" s="32">
        <f>C55+1</f>
        <v>2030</v>
      </c>
      <c r="D56" s="36">
        <f>D12+D21+D30+D42</f>
        <v>0</v>
      </c>
      <c r="E56" s="36">
        <f t="shared" si="0"/>
        <v>0</v>
      </c>
      <c r="F56" s="36">
        <f t="shared" si="0"/>
        <v>0</v>
      </c>
      <c r="G56" s="36">
        <f t="shared" si="0"/>
        <v>0</v>
      </c>
      <c r="L56" s="9"/>
      <c r="M56" s="52"/>
      <c r="N56" s="8"/>
      <c r="O56" s="53"/>
    </row>
    <row r="57" spans="1:15" x14ac:dyDescent="0.25">
      <c r="L57" s="9"/>
      <c r="M57" s="52"/>
      <c r="N57" s="8"/>
      <c r="O57" s="53"/>
    </row>
    <row r="58" spans="1:15" x14ac:dyDescent="0.25">
      <c r="L58" s="9"/>
      <c r="M58" s="52"/>
      <c r="N58" s="8"/>
      <c r="O58" s="53"/>
    </row>
    <row r="59" spans="1:1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25">
      <c r="A60" s="2" t="s">
        <v>234</v>
      </c>
    </row>
    <row r="62" spans="1:15" x14ac:dyDescent="0.25">
      <c r="B62" t="s">
        <v>235</v>
      </c>
    </row>
    <row r="64" spans="1:15" x14ac:dyDescent="0.25">
      <c r="A64" s="15"/>
      <c r="B64" s="15"/>
      <c r="C64" s="15" t="s">
        <v>236</v>
      </c>
      <c r="D64" s="15">
        <v>13.16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6" spans="1:15" x14ac:dyDescent="0.25">
      <c r="B66" t="s">
        <v>237</v>
      </c>
      <c r="D66" s="10" t="s">
        <v>249</v>
      </c>
      <c r="E66" s="42">
        <v>8.5984999999999996</v>
      </c>
    </row>
    <row r="68" spans="1:15" x14ac:dyDescent="0.25">
      <c r="C68" s="16" t="s">
        <v>210</v>
      </c>
      <c r="D68" s="16" t="s">
        <v>211</v>
      </c>
      <c r="E68" s="16" t="s">
        <v>212</v>
      </c>
      <c r="F68" s="16" t="s">
        <v>246</v>
      </c>
      <c r="G68" s="16" t="s">
        <v>238</v>
      </c>
      <c r="H68" s="16" t="s">
        <v>215</v>
      </c>
      <c r="I68" s="41"/>
      <c r="J68" s="8"/>
      <c r="L68" s="16" t="s">
        <v>240</v>
      </c>
      <c r="M68" s="16" t="s">
        <v>217</v>
      </c>
      <c r="N68" s="16" t="s">
        <v>218</v>
      </c>
      <c r="O68" s="16" t="s">
        <v>241</v>
      </c>
    </row>
    <row r="69" spans="1:15" x14ac:dyDescent="0.25">
      <c r="C69" s="32">
        <v>2026</v>
      </c>
      <c r="D69" s="39">
        <f>N69*E66</f>
        <v>247.63679999999999</v>
      </c>
      <c r="E69" s="33">
        <v>4.2500000000000003E-2</v>
      </c>
      <c r="F69" s="39">
        <f>(SUM(O69:O72))*E66</f>
        <v>8.7592566136986321</v>
      </c>
      <c r="G69" s="39">
        <f>3.2*4*E66</f>
        <v>110.0608</v>
      </c>
      <c r="H69" s="39">
        <f>D69-G69</f>
        <v>137.57599999999999</v>
      </c>
      <c r="L69" s="32" t="s">
        <v>242</v>
      </c>
      <c r="M69" s="32">
        <v>90</v>
      </c>
      <c r="N69" s="32">
        <v>28.8</v>
      </c>
      <c r="O69" s="32">
        <f>N69*$E$69*(M69/365)</f>
        <v>0.3018082191780822</v>
      </c>
    </row>
    <row r="70" spans="1:15" x14ac:dyDescent="0.25">
      <c r="C70" s="32">
        <v>2027</v>
      </c>
      <c r="D70" s="39">
        <f>H69</f>
        <v>137.57599999999999</v>
      </c>
      <c r="E70" s="33">
        <v>4.2500000000000003E-2</v>
      </c>
      <c r="F70" s="39">
        <f>(SUM(O73:O76))*E66</f>
        <v>4.0816726136986325</v>
      </c>
      <c r="G70" s="32">
        <v>110.06</v>
      </c>
      <c r="H70" s="39">
        <f>D70-G70</f>
        <v>27.515999999999991</v>
      </c>
      <c r="L70" s="32" t="s">
        <v>244</v>
      </c>
      <c r="M70" s="32">
        <v>91</v>
      </c>
      <c r="N70" s="32">
        <f>N69-3.2</f>
        <v>25.6</v>
      </c>
      <c r="O70" s="32">
        <f t="shared" ref="O70:O77" si="1">N70*$E$69*(M70/365)</f>
        <v>0.27125479452054796</v>
      </c>
    </row>
    <row r="71" spans="1:15" x14ac:dyDescent="0.25">
      <c r="C71" s="32">
        <v>2028</v>
      </c>
      <c r="D71" s="39">
        <f>H70</f>
        <v>27.515999999999991</v>
      </c>
      <c r="E71" s="33">
        <v>4.2500000000000003E-2</v>
      </c>
      <c r="F71" s="39">
        <f>O77*E66</f>
        <v>0.29154804383561683</v>
      </c>
      <c r="G71" s="39">
        <f>D71</f>
        <v>27.515999999999991</v>
      </c>
      <c r="H71" s="39">
        <f>D71-G71</f>
        <v>0</v>
      </c>
      <c r="L71" s="32" t="s">
        <v>243</v>
      </c>
      <c r="M71" s="32">
        <v>92</v>
      </c>
      <c r="N71" s="32">
        <f t="shared" ref="N71:N77" si="2">N70-3.2</f>
        <v>22.400000000000002</v>
      </c>
      <c r="O71" s="32">
        <f t="shared" si="1"/>
        <v>0.23995616438356171</v>
      </c>
    </row>
    <row r="72" spans="1:15" ht="15.75" thickBot="1" x14ac:dyDescent="0.3">
      <c r="L72" s="35" t="s">
        <v>245</v>
      </c>
      <c r="M72" s="35">
        <v>92</v>
      </c>
      <c r="N72" s="35">
        <f t="shared" si="2"/>
        <v>19.200000000000003</v>
      </c>
      <c r="O72" s="35">
        <f t="shared" si="1"/>
        <v>0.20567671232876719</v>
      </c>
    </row>
    <row r="73" spans="1:15" ht="15.75" thickTop="1" x14ac:dyDescent="0.25">
      <c r="L73" s="34" t="s">
        <v>247</v>
      </c>
      <c r="M73" s="34">
        <v>90</v>
      </c>
      <c r="N73" s="34">
        <f t="shared" si="2"/>
        <v>16.000000000000004</v>
      </c>
      <c r="O73" s="34">
        <f t="shared" si="1"/>
        <v>0.16767123287671237</v>
      </c>
    </row>
    <row r="74" spans="1:15" x14ac:dyDescent="0.25">
      <c r="L74" s="32" t="s">
        <v>244</v>
      </c>
      <c r="M74" s="32">
        <v>91</v>
      </c>
      <c r="N74" s="32">
        <f t="shared" si="2"/>
        <v>12.800000000000004</v>
      </c>
      <c r="O74" s="32">
        <f t="shared" si="1"/>
        <v>0.13562739726027404</v>
      </c>
    </row>
    <row r="75" spans="1:15" x14ac:dyDescent="0.25">
      <c r="L75" s="32" t="s">
        <v>243</v>
      </c>
      <c r="M75" s="32">
        <v>92</v>
      </c>
      <c r="N75" s="32">
        <f t="shared" si="2"/>
        <v>9.600000000000005</v>
      </c>
      <c r="O75" s="32">
        <f t="shared" si="1"/>
        <v>0.10283835616438364</v>
      </c>
    </row>
    <row r="76" spans="1:15" ht="15.75" thickBot="1" x14ac:dyDescent="0.3">
      <c r="L76" s="35" t="s">
        <v>245</v>
      </c>
      <c r="M76" s="35">
        <v>92</v>
      </c>
      <c r="N76" s="35">
        <f t="shared" si="2"/>
        <v>6.4000000000000048</v>
      </c>
      <c r="O76" s="35">
        <f t="shared" si="1"/>
        <v>6.8558904109589106E-2</v>
      </c>
    </row>
    <row r="77" spans="1:15" ht="16.5" thickTop="1" thickBot="1" x14ac:dyDescent="0.3">
      <c r="L77" s="40" t="s">
        <v>248</v>
      </c>
      <c r="M77" s="40">
        <v>91</v>
      </c>
      <c r="N77" s="40">
        <f t="shared" si="2"/>
        <v>3.2000000000000046</v>
      </c>
      <c r="O77" s="40">
        <f t="shared" si="1"/>
        <v>3.3906849315068543E-2</v>
      </c>
    </row>
    <row r="78" spans="1:15" ht="15.75" thickTop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80" spans="1:15" x14ac:dyDescent="0.25">
      <c r="B80" t="s">
        <v>239</v>
      </c>
      <c r="D80" s="10" t="s">
        <v>250</v>
      </c>
      <c r="E80" s="12">
        <f>E66</f>
        <v>8.5984999999999996</v>
      </c>
    </row>
    <row r="82" spans="3:15" x14ac:dyDescent="0.25">
      <c r="C82" s="16" t="s">
        <v>210</v>
      </c>
      <c r="D82" s="16" t="s">
        <v>211</v>
      </c>
      <c r="E82" s="16" t="s">
        <v>212</v>
      </c>
      <c r="F82" s="16" t="s">
        <v>246</v>
      </c>
      <c r="G82" s="16" t="s">
        <v>238</v>
      </c>
      <c r="H82" s="16" t="s">
        <v>215</v>
      </c>
      <c r="L82" s="16" t="s">
        <v>240</v>
      </c>
      <c r="M82" s="16" t="s">
        <v>217</v>
      </c>
      <c r="N82" s="16" t="s">
        <v>218</v>
      </c>
      <c r="O82" s="16" t="s">
        <v>241</v>
      </c>
    </row>
    <row r="83" spans="3:15" x14ac:dyDescent="0.25">
      <c r="C83" s="32">
        <v>2026</v>
      </c>
      <c r="D83" s="39">
        <f>N83*E80</f>
        <v>1714.5409</v>
      </c>
      <c r="E83" s="33">
        <v>5.7500000000000002E-2</v>
      </c>
      <c r="F83" s="39">
        <f>(SUM(O83:O86)*E80)</f>
        <v>91.14487680969178</v>
      </c>
      <c r="G83" s="39">
        <f>9.97*4*E80</f>
        <v>342.90818000000002</v>
      </c>
      <c r="H83" s="39">
        <f>D83-G83</f>
        <v>1371.6327200000001</v>
      </c>
      <c r="L83" s="32" t="s">
        <v>242</v>
      </c>
      <c r="M83" s="32">
        <v>90</v>
      </c>
      <c r="N83" s="39">
        <v>199.4</v>
      </c>
      <c r="O83" s="32">
        <f>N83*$E$83*(M83/365)</f>
        <v>2.827109589041096</v>
      </c>
    </row>
    <row r="84" spans="3:15" x14ac:dyDescent="0.25">
      <c r="C84" s="32">
        <v>2027</v>
      </c>
      <c r="D84" s="39">
        <f>H83</f>
        <v>1371.6327200000001</v>
      </c>
      <c r="E84" s="33">
        <v>5.7500000000000002E-2</v>
      </c>
      <c r="F84" s="39">
        <f>(SUM(O87:O90)*E80)</f>
        <v>71.427656459691804</v>
      </c>
      <c r="G84" s="39">
        <f>G83</f>
        <v>342.90818000000002</v>
      </c>
      <c r="H84" s="39">
        <f>D84-G84</f>
        <v>1028.7245400000002</v>
      </c>
      <c r="L84" s="32" t="s">
        <v>244</v>
      </c>
      <c r="M84" s="32">
        <v>91</v>
      </c>
      <c r="N84" s="32">
        <f>N83-9.97</f>
        <v>189.43</v>
      </c>
      <c r="O84" s="32">
        <f>N84*$E$83*(M84/365)</f>
        <v>2.7155958219178085</v>
      </c>
    </row>
    <row r="85" spans="3:15" x14ac:dyDescent="0.25">
      <c r="C85" s="32">
        <v>2028</v>
      </c>
      <c r="D85" s="39">
        <f>H84</f>
        <v>1028.7245400000002</v>
      </c>
      <c r="E85" s="33">
        <v>5.7500000000000002E-2</v>
      </c>
      <c r="F85" s="39">
        <f>(SUM(O91:O94)*E80)</f>
        <v>51.730767325375695</v>
      </c>
      <c r="G85" s="39">
        <f>G84</f>
        <v>342.90818000000002</v>
      </c>
      <c r="H85" s="39">
        <f>D85-G85</f>
        <v>685.81636000000015</v>
      </c>
      <c r="L85" s="32" t="s">
        <v>243</v>
      </c>
      <c r="M85" s="32">
        <v>92</v>
      </c>
      <c r="N85" s="32">
        <f t="shared" ref="N85:N102" si="3">N84-9.97</f>
        <v>179.46</v>
      </c>
      <c r="O85" s="32">
        <f>N85*$E$83*(M85/365)</f>
        <v>2.6009408219178085</v>
      </c>
    </row>
    <row r="86" spans="3:15" ht="15.75" thickBot="1" x14ac:dyDescent="0.3">
      <c r="C86" s="32">
        <v>2029</v>
      </c>
      <c r="D86" s="39">
        <f>H85</f>
        <v>685.81636000000015</v>
      </c>
      <c r="E86" s="33">
        <v>5.7500000000000002E-2</v>
      </c>
      <c r="F86" s="39">
        <f>(SUM(O95:O98)*E80)</f>
        <v>31.993215759691797</v>
      </c>
      <c r="G86" s="39">
        <f>G85</f>
        <v>342.90818000000002</v>
      </c>
      <c r="H86" s="39">
        <f>D86-G86</f>
        <v>342.90818000000013</v>
      </c>
      <c r="L86" s="35" t="s">
        <v>245</v>
      </c>
      <c r="M86" s="35">
        <v>92</v>
      </c>
      <c r="N86" s="35">
        <f t="shared" si="3"/>
        <v>169.49</v>
      </c>
      <c r="O86" s="35">
        <f>N86*$E$83*(M86/365)</f>
        <v>2.4564441095890412</v>
      </c>
    </row>
    <row r="87" spans="3:15" ht="15.75" thickTop="1" x14ac:dyDescent="0.25">
      <c r="C87" s="32">
        <v>2030</v>
      </c>
      <c r="D87" s="39">
        <f>H86</f>
        <v>342.90818000000013</v>
      </c>
      <c r="E87" s="33">
        <v>5.7500000000000002E-2</v>
      </c>
      <c r="F87" s="39">
        <f>(SUM(O99:O102)*E80)</f>
        <v>12.275995409691793</v>
      </c>
      <c r="G87" s="39">
        <f>G86</f>
        <v>342.90818000000002</v>
      </c>
      <c r="H87" s="32">
        <f>D87-G87</f>
        <v>0</v>
      </c>
      <c r="L87" s="34" t="s">
        <v>247</v>
      </c>
      <c r="M87" s="34">
        <v>90</v>
      </c>
      <c r="N87" s="34">
        <f t="shared" si="3"/>
        <v>159.52000000000001</v>
      </c>
      <c r="O87" s="34">
        <f>N87*E84*(M87/365)</f>
        <v>2.2616876712328771</v>
      </c>
    </row>
    <row r="88" spans="3:15" x14ac:dyDescent="0.25">
      <c r="L88" s="32" t="s">
        <v>244</v>
      </c>
      <c r="M88" s="32">
        <v>91</v>
      </c>
      <c r="N88" s="32">
        <f t="shared" si="3"/>
        <v>149.55000000000001</v>
      </c>
      <c r="O88" s="34">
        <f>N88*E85*(M88/365)</f>
        <v>2.1438914383561647</v>
      </c>
    </row>
    <row r="89" spans="3:15" x14ac:dyDescent="0.25">
      <c r="L89" s="32" t="s">
        <v>243</v>
      </c>
      <c r="M89" s="32">
        <v>92</v>
      </c>
      <c r="N89" s="32">
        <f t="shared" si="3"/>
        <v>139.58000000000001</v>
      </c>
      <c r="O89" s="34">
        <f>N89*E86*(M89/365)</f>
        <v>2.0229539726027403</v>
      </c>
    </row>
    <row r="90" spans="3:15" ht="15.75" thickBot="1" x14ac:dyDescent="0.3">
      <c r="L90" s="35" t="s">
        <v>245</v>
      </c>
      <c r="M90" s="35">
        <v>92</v>
      </c>
      <c r="N90" s="35">
        <f t="shared" si="3"/>
        <v>129.61000000000001</v>
      </c>
      <c r="O90" s="35">
        <f>N90*E87*(M90/365)</f>
        <v>1.8784572602739731</v>
      </c>
    </row>
    <row r="91" spans="3:15" ht="15.75" thickTop="1" x14ac:dyDescent="0.25">
      <c r="L91" s="32" t="s">
        <v>248</v>
      </c>
      <c r="M91" s="32">
        <v>91</v>
      </c>
      <c r="N91" s="34">
        <f t="shared" si="3"/>
        <v>119.64000000000001</v>
      </c>
      <c r="O91" s="34">
        <f>N91*$E$85*(M91/366)</f>
        <v>1.7104270491803282</v>
      </c>
    </row>
    <row r="92" spans="3:15" x14ac:dyDescent="0.25">
      <c r="L92" s="32" t="s">
        <v>244</v>
      </c>
      <c r="M92" s="32">
        <v>91</v>
      </c>
      <c r="N92" s="32">
        <f t="shared" si="3"/>
        <v>109.67000000000002</v>
      </c>
      <c r="O92" s="34">
        <f>N92*$E$85*(M92/366)</f>
        <v>1.5678914617486341</v>
      </c>
    </row>
    <row r="93" spans="3:15" x14ac:dyDescent="0.25">
      <c r="L93" s="32" t="s">
        <v>243</v>
      </c>
      <c r="M93" s="32">
        <v>92</v>
      </c>
      <c r="N93" s="32">
        <f t="shared" si="3"/>
        <v>99.700000000000017</v>
      </c>
      <c r="O93" s="34">
        <f>N93*$E$85*(M93/366)</f>
        <v>1.4410191256830605</v>
      </c>
    </row>
    <row r="94" spans="3:15" ht="15.75" thickBot="1" x14ac:dyDescent="0.3">
      <c r="L94" s="35" t="s">
        <v>245</v>
      </c>
      <c r="M94" s="35">
        <v>92</v>
      </c>
      <c r="N94" s="35">
        <f t="shared" si="3"/>
        <v>89.730000000000018</v>
      </c>
      <c r="O94" s="35">
        <f>N94*$E$85*(M94/366)</f>
        <v>1.2969172131147544</v>
      </c>
    </row>
    <row r="95" spans="3:15" ht="15.75" thickTop="1" x14ac:dyDescent="0.25">
      <c r="L95" s="34" t="s">
        <v>251</v>
      </c>
      <c r="M95" s="34">
        <v>90</v>
      </c>
      <c r="N95" s="34">
        <f t="shared" si="3"/>
        <v>79.760000000000019</v>
      </c>
      <c r="O95" s="34">
        <f>N95*$E$86*(M95/365)</f>
        <v>1.1308438356164388</v>
      </c>
    </row>
    <row r="96" spans="3:15" x14ac:dyDescent="0.25">
      <c r="L96" s="32" t="s">
        <v>244</v>
      </c>
      <c r="M96" s="32">
        <v>91</v>
      </c>
      <c r="N96" s="32">
        <f t="shared" si="3"/>
        <v>69.79000000000002</v>
      </c>
      <c r="O96" s="34">
        <f>N96*$E$86*(M96/365)</f>
        <v>1.0004826712328769</v>
      </c>
    </row>
    <row r="97" spans="1:16" x14ac:dyDescent="0.25">
      <c r="L97" s="32" t="s">
        <v>243</v>
      </c>
      <c r="M97" s="32">
        <v>92</v>
      </c>
      <c r="N97" s="32">
        <f t="shared" si="3"/>
        <v>59.820000000000022</v>
      </c>
      <c r="O97" s="34">
        <f>N97*$E$86*(M97/365)</f>
        <v>0.86698027397260313</v>
      </c>
    </row>
    <row r="98" spans="1:16" ht="15.75" thickBot="1" x14ac:dyDescent="0.3">
      <c r="L98" s="35" t="s">
        <v>245</v>
      </c>
      <c r="M98" s="35">
        <v>92</v>
      </c>
      <c r="N98" s="35">
        <f t="shared" si="3"/>
        <v>49.850000000000023</v>
      </c>
      <c r="O98" s="35">
        <f>N98*$E$86*(M98/365)</f>
        <v>0.72248356164383609</v>
      </c>
    </row>
    <row r="99" spans="1:16" ht="15.75" thickTop="1" x14ac:dyDescent="0.25">
      <c r="L99" s="32" t="s">
        <v>252</v>
      </c>
      <c r="M99" s="32">
        <v>90</v>
      </c>
      <c r="N99" s="34">
        <f t="shared" si="3"/>
        <v>39.880000000000024</v>
      </c>
      <c r="O99" s="34">
        <f>N99*$E$87*(M99/365)</f>
        <v>0.5654219178082196</v>
      </c>
    </row>
    <row r="100" spans="1:16" x14ac:dyDescent="0.25">
      <c r="L100" s="32" t="s">
        <v>244</v>
      </c>
      <c r="M100" s="32">
        <v>91</v>
      </c>
      <c r="N100" s="32">
        <f t="shared" si="3"/>
        <v>29.910000000000025</v>
      </c>
      <c r="O100" s="34">
        <f>N100*$E$87*(M100/365)</f>
        <v>0.42877828767123327</v>
      </c>
    </row>
    <row r="101" spans="1:16" x14ac:dyDescent="0.25">
      <c r="L101" s="32" t="s">
        <v>243</v>
      </c>
      <c r="M101" s="32">
        <v>92</v>
      </c>
      <c r="N101" s="32">
        <f t="shared" si="3"/>
        <v>19.940000000000026</v>
      </c>
      <c r="O101" s="34">
        <f>N101*$E$87*(M101/365)</f>
        <v>0.28899342465753464</v>
      </c>
    </row>
    <row r="102" spans="1:16" ht="15.75" thickBot="1" x14ac:dyDescent="0.3">
      <c r="L102" s="35" t="s">
        <v>245</v>
      </c>
      <c r="M102" s="35">
        <v>92</v>
      </c>
      <c r="N102" s="35">
        <f t="shared" si="3"/>
        <v>9.9700000000000255</v>
      </c>
      <c r="O102" s="35">
        <f>N102*$E$87*(M102/365)</f>
        <v>0.14449671232876751</v>
      </c>
    </row>
    <row r="103" spans="1:16" ht="15.75" thickTop="1" x14ac:dyDescent="0.25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</row>
    <row r="105" spans="1:16" x14ac:dyDescent="0.25">
      <c r="B105" t="s">
        <v>253</v>
      </c>
      <c r="D105" s="10" t="s">
        <v>249</v>
      </c>
      <c r="E105" s="12">
        <f>E80</f>
        <v>8.5984999999999996</v>
      </c>
    </row>
    <row r="107" spans="1:16" x14ac:dyDescent="0.25">
      <c r="C107" t="s">
        <v>257</v>
      </c>
      <c r="D107">
        <f>1.46*24</f>
        <v>35.04</v>
      </c>
      <c r="E107" t="s">
        <v>255</v>
      </c>
    </row>
    <row r="108" spans="1:16" x14ac:dyDescent="0.25">
      <c r="C108" t="s">
        <v>254</v>
      </c>
      <c r="D108">
        <v>1.46</v>
      </c>
      <c r="E108" t="s">
        <v>255</v>
      </c>
    </row>
    <row r="109" spans="1:16" x14ac:dyDescent="0.25">
      <c r="C109" t="s">
        <v>258</v>
      </c>
      <c r="D109" s="11">
        <v>5.2999999999999999E-2</v>
      </c>
    </row>
    <row r="111" spans="1:16" x14ac:dyDescent="0.25">
      <c r="C111" s="16" t="s">
        <v>210</v>
      </c>
      <c r="D111" s="16" t="s">
        <v>211</v>
      </c>
      <c r="E111" s="44" t="s">
        <v>256</v>
      </c>
      <c r="F111" s="44" t="s">
        <v>244</v>
      </c>
      <c r="G111" s="44" t="s">
        <v>243</v>
      </c>
      <c r="H111" s="44" t="s">
        <v>245</v>
      </c>
      <c r="I111" s="44" t="s">
        <v>260</v>
      </c>
      <c r="J111" s="45" t="s">
        <v>259</v>
      </c>
      <c r="M111" s="45" t="s">
        <v>261</v>
      </c>
      <c r="N111" s="45" t="s">
        <v>262</v>
      </c>
      <c r="O111" s="45" t="s">
        <v>263</v>
      </c>
      <c r="P111" s="45" t="s">
        <v>264</v>
      </c>
    </row>
    <row r="112" spans="1:16" x14ac:dyDescent="0.25">
      <c r="C112" s="32">
        <v>2026</v>
      </c>
      <c r="D112" s="39">
        <f>D107*E105</f>
        <v>301.29143999999997</v>
      </c>
      <c r="E112" s="39">
        <f>D112-$D$108*$E$105</f>
        <v>288.73762999999997</v>
      </c>
      <c r="F112" s="39">
        <f>E112-$D$108*$E$105</f>
        <v>276.18381999999997</v>
      </c>
      <c r="G112" s="39">
        <f>F112-$D$108*$E$105</f>
        <v>263.63000999999997</v>
      </c>
      <c r="H112" s="39">
        <f>G112-$D$108*$E$105</f>
        <v>251.07619999999997</v>
      </c>
      <c r="I112" s="39">
        <f t="shared" ref="I112:I117" si="4">SUM(M112:P112)</f>
        <v>14.765344199999998</v>
      </c>
      <c r="J112" s="39">
        <f t="shared" ref="J112:J117" si="5">D112-H112</f>
        <v>50.215239999999994</v>
      </c>
      <c r="M112" s="39">
        <f t="shared" ref="M112:N117" si="6">D112*$D$109*(90/365)</f>
        <v>3.9374251199999994</v>
      </c>
      <c r="N112" s="39">
        <f t="shared" si="6"/>
        <v>3.7733657399999996</v>
      </c>
      <c r="O112" s="39">
        <f t="shared" ref="O112:P117" si="7">F112*$D$109*(90/365)</f>
        <v>3.6093063599999993</v>
      </c>
      <c r="P112" s="39">
        <f t="shared" si="7"/>
        <v>3.4452469799999994</v>
      </c>
    </row>
    <row r="113" spans="1:16" x14ac:dyDescent="0.25">
      <c r="C113" s="32">
        <f>C112+1</f>
        <v>2027</v>
      </c>
      <c r="D113" s="39">
        <f>H112</f>
        <v>251.07619999999997</v>
      </c>
      <c r="E113" s="39">
        <f t="shared" ref="E113:H117" si="8">D113-$D$108*$E$105</f>
        <v>238.52238999999997</v>
      </c>
      <c r="F113" s="39">
        <f t="shared" si="8"/>
        <v>225.96857999999997</v>
      </c>
      <c r="G113" s="39">
        <f t="shared" si="8"/>
        <v>213.41476999999998</v>
      </c>
      <c r="H113" s="39">
        <f t="shared" si="8"/>
        <v>200.86095999999998</v>
      </c>
      <c r="I113" s="39">
        <f t="shared" si="4"/>
        <v>12.140394119999996</v>
      </c>
      <c r="J113" s="39">
        <f t="shared" si="5"/>
        <v>50.215239999999994</v>
      </c>
      <c r="M113" s="39">
        <f t="shared" si="6"/>
        <v>3.2811875999999995</v>
      </c>
      <c r="N113" s="39">
        <f t="shared" si="6"/>
        <v>3.1171282199999997</v>
      </c>
      <c r="O113" s="39">
        <f t="shared" si="7"/>
        <v>2.9530688399999994</v>
      </c>
      <c r="P113" s="39">
        <f t="shared" si="7"/>
        <v>2.7890094599999995</v>
      </c>
    </row>
    <row r="114" spans="1:16" x14ac:dyDescent="0.25">
      <c r="C114" s="32">
        <f>C113+1</f>
        <v>2028</v>
      </c>
      <c r="D114" s="39">
        <f>H113</f>
        <v>200.86095999999998</v>
      </c>
      <c r="E114" s="39">
        <f t="shared" si="8"/>
        <v>188.30714999999998</v>
      </c>
      <c r="F114" s="39">
        <f t="shared" si="8"/>
        <v>175.75333999999998</v>
      </c>
      <c r="G114" s="39">
        <f t="shared" si="8"/>
        <v>163.19952999999998</v>
      </c>
      <c r="H114" s="39">
        <f t="shared" si="8"/>
        <v>150.64571999999998</v>
      </c>
      <c r="I114" s="39">
        <f t="shared" si="4"/>
        <v>9.5154440399999984</v>
      </c>
      <c r="J114" s="39">
        <f t="shared" si="5"/>
        <v>50.215239999999994</v>
      </c>
      <c r="M114" s="39">
        <f t="shared" si="6"/>
        <v>2.6249500799999996</v>
      </c>
      <c r="N114" s="39">
        <f t="shared" si="6"/>
        <v>2.4608906999999998</v>
      </c>
      <c r="O114" s="39">
        <f t="shared" si="7"/>
        <v>2.2968313199999995</v>
      </c>
      <c r="P114" s="39">
        <f t="shared" si="7"/>
        <v>2.1327719399999996</v>
      </c>
    </row>
    <row r="115" spans="1:16" x14ac:dyDescent="0.25">
      <c r="C115" s="32">
        <f>C114+1</f>
        <v>2029</v>
      </c>
      <c r="D115" s="39">
        <f>H114</f>
        <v>150.64571999999998</v>
      </c>
      <c r="E115" s="39">
        <f t="shared" si="8"/>
        <v>138.09190999999998</v>
      </c>
      <c r="F115" s="39">
        <f t="shared" si="8"/>
        <v>125.53809999999999</v>
      </c>
      <c r="G115" s="39">
        <f t="shared" si="8"/>
        <v>112.98428999999999</v>
      </c>
      <c r="H115" s="39">
        <f t="shared" si="8"/>
        <v>100.43047999999999</v>
      </c>
      <c r="I115" s="39">
        <f t="shared" si="4"/>
        <v>6.8904939599999988</v>
      </c>
      <c r="J115" s="39">
        <f t="shared" si="5"/>
        <v>50.215239999999994</v>
      </c>
      <c r="M115" s="39">
        <f t="shared" si="6"/>
        <v>1.9687125599999997</v>
      </c>
      <c r="N115" s="39">
        <f t="shared" si="6"/>
        <v>1.8046531799999996</v>
      </c>
      <c r="O115" s="39">
        <f t="shared" si="7"/>
        <v>1.6405937999999998</v>
      </c>
      <c r="P115" s="39">
        <f t="shared" si="7"/>
        <v>1.4765344199999997</v>
      </c>
    </row>
    <row r="116" spans="1:16" x14ac:dyDescent="0.25">
      <c r="C116" s="32">
        <f>C115+1</f>
        <v>2030</v>
      </c>
      <c r="D116" s="39">
        <f>H115</f>
        <v>100.43047999999999</v>
      </c>
      <c r="E116" s="39">
        <f t="shared" si="8"/>
        <v>87.87666999999999</v>
      </c>
      <c r="F116" s="39">
        <f t="shared" si="8"/>
        <v>75.322859999999991</v>
      </c>
      <c r="G116" s="39">
        <f t="shared" si="8"/>
        <v>62.769049999999993</v>
      </c>
      <c r="H116" s="39">
        <f t="shared" si="8"/>
        <v>50.215239999999994</v>
      </c>
      <c r="I116" s="39">
        <f t="shared" si="4"/>
        <v>4.2655438799999992</v>
      </c>
      <c r="J116" s="39">
        <f t="shared" si="5"/>
        <v>50.215239999999994</v>
      </c>
      <c r="M116" s="39">
        <f t="shared" si="6"/>
        <v>1.3124750399999998</v>
      </c>
      <c r="N116" s="39">
        <f t="shared" si="6"/>
        <v>1.1484156599999997</v>
      </c>
      <c r="O116" s="39">
        <f t="shared" si="7"/>
        <v>0.98435627999999986</v>
      </c>
      <c r="P116" s="39">
        <f t="shared" si="7"/>
        <v>0.82029689999999988</v>
      </c>
    </row>
    <row r="117" spans="1:16" x14ac:dyDescent="0.25">
      <c r="C117" s="32">
        <f>C116+1</f>
        <v>2031</v>
      </c>
      <c r="D117" s="39">
        <f>H116</f>
        <v>50.215239999999994</v>
      </c>
      <c r="E117" s="39">
        <f t="shared" si="8"/>
        <v>37.661429999999996</v>
      </c>
      <c r="F117" s="39">
        <f t="shared" si="8"/>
        <v>25.107619999999997</v>
      </c>
      <c r="G117" s="39">
        <f t="shared" si="8"/>
        <v>12.553809999999999</v>
      </c>
      <c r="H117" s="39">
        <f t="shared" si="8"/>
        <v>0</v>
      </c>
      <c r="I117" s="39">
        <f t="shared" si="4"/>
        <v>1.6405938</v>
      </c>
      <c r="J117" s="39">
        <f t="shared" si="5"/>
        <v>50.215239999999994</v>
      </c>
      <c r="M117" s="39">
        <f t="shared" si="6"/>
        <v>0.65623751999999991</v>
      </c>
      <c r="N117" s="39">
        <f t="shared" si="6"/>
        <v>0.49217813999999993</v>
      </c>
      <c r="O117" s="39">
        <f t="shared" si="7"/>
        <v>0.32811875999999995</v>
      </c>
      <c r="P117" s="39">
        <f t="shared" si="7"/>
        <v>0.16405937999999998</v>
      </c>
    </row>
    <row r="118" spans="1:16" x14ac:dyDescent="0.25">
      <c r="A118" s="3"/>
      <c r="B118" s="3"/>
      <c r="C118" s="3"/>
      <c r="D118" s="3"/>
      <c r="E118" s="3"/>
      <c r="F118" s="3"/>
      <c r="G118" s="3"/>
      <c r="H118" s="3"/>
      <c r="I118" s="49"/>
      <c r="J118" s="49"/>
      <c r="K118" s="3"/>
      <c r="L118" s="3"/>
      <c r="M118" s="49"/>
      <c r="N118" s="49"/>
      <c r="O118" s="49"/>
      <c r="P118" s="49"/>
    </row>
    <row r="119" spans="1:16" x14ac:dyDescent="0.25">
      <c r="A119" s="8"/>
      <c r="B119" s="8" t="s">
        <v>281</v>
      </c>
      <c r="C119" s="8"/>
      <c r="D119" s="8"/>
      <c r="E119" s="8"/>
      <c r="F119" s="8"/>
      <c r="G119" s="8"/>
      <c r="H119" s="8"/>
      <c r="I119" s="50"/>
      <c r="J119" s="50"/>
      <c r="K119" s="8"/>
      <c r="L119" s="8"/>
      <c r="M119" s="50"/>
      <c r="N119" s="50"/>
      <c r="O119" s="50"/>
      <c r="P119" s="50"/>
    </row>
    <row r="120" spans="1:16" x14ac:dyDescent="0.25">
      <c r="A120" s="8"/>
      <c r="B120" s="8"/>
      <c r="C120" s="51" t="s">
        <v>210</v>
      </c>
      <c r="D120" s="51" t="s">
        <v>211</v>
      </c>
      <c r="E120" s="51" t="s">
        <v>57</v>
      </c>
      <c r="F120" s="51" t="s">
        <v>280</v>
      </c>
      <c r="G120" s="51" t="s">
        <v>215</v>
      </c>
      <c r="H120" s="8"/>
      <c r="I120" s="50"/>
      <c r="J120" s="50"/>
      <c r="K120" s="8"/>
      <c r="L120" s="8"/>
      <c r="M120" s="50"/>
      <c r="N120" s="50"/>
      <c r="O120" s="50"/>
      <c r="P120" s="50"/>
    </row>
    <row r="121" spans="1:16" x14ac:dyDescent="0.25">
      <c r="A121" s="8"/>
      <c r="B121" s="8"/>
      <c r="C121" s="32">
        <v>2026</v>
      </c>
      <c r="D121" s="39">
        <f>D69+D83+D112+D64</f>
        <v>2276.62914</v>
      </c>
      <c r="E121" s="39">
        <f t="shared" ref="E121:E126" si="9">F69+F83+I112</f>
        <v>114.66947762339042</v>
      </c>
      <c r="F121" s="39">
        <f>G69+G83+J112+D64</f>
        <v>516.34421999999995</v>
      </c>
      <c r="G121" s="39">
        <f t="shared" ref="G121:G126" si="10">H112+H83+H69</f>
        <v>1760.2849200000001</v>
      </c>
      <c r="H121" s="8"/>
      <c r="I121" s="50"/>
      <c r="J121" s="50"/>
      <c r="K121" s="8"/>
      <c r="L121" s="8"/>
      <c r="M121" s="50"/>
      <c r="N121" s="50"/>
      <c r="O121" s="50"/>
      <c r="P121" s="50"/>
    </row>
    <row r="122" spans="1:16" x14ac:dyDescent="0.25">
      <c r="A122" s="8"/>
      <c r="B122" s="8"/>
      <c r="C122" s="32">
        <f>C121+1</f>
        <v>2027</v>
      </c>
      <c r="D122" s="39">
        <f>D70+D84+D113</f>
        <v>1760.2849200000001</v>
      </c>
      <c r="E122" s="39">
        <f t="shared" si="9"/>
        <v>87.649723193390429</v>
      </c>
      <c r="F122" s="39">
        <f>G70+G84+J113</f>
        <v>503.18342000000001</v>
      </c>
      <c r="G122" s="39">
        <f t="shared" si="10"/>
        <v>1257.1015000000002</v>
      </c>
      <c r="H122" s="8"/>
      <c r="I122" s="50"/>
      <c r="J122" s="50"/>
      <c r="K122" s="8"/>
      <c r="L122" s="8"/>
      <c r="M122" s="50"/>
      <c r="N122" s="50"/>
      <c r="O122" s="50"/>
      <c r="P122" s="50"/>
    </row>
    <row r="123" spans="1:16" x14ac:dyDescent="0.25">
      <c r="A123" s="8"/>
      <c r="B123" s="8"/>
      <c r="C123" s="32">
        <f>C122+1</f>
        <v>2028</v>
      </c>
      <c r="D123" s="39">
        <f>D71+D85+D114</f>
        <v>1257.1015000000002</v>
      </c>
      <c r="E123" s="39">
        <f t="shared" si="9"/>
        <v>61.537759409211311</v>
      </c>
      <c r="F123" s="39">
        <f>G71+G85+J114</f>
        <v>420.63941999999997</v>
      </c>
      <c r="G123" s="39">
        <f t="shared" si="10"/>
        <v>836.46208000000013</v>
      </c>
      <c r="H123" s="8"/>
      <c r="I123" s="50"/>
      <c r="J123" s="50"/>
      <c r="K123" s="8"/>
      <c r="L123" s="8"/>
      <c r="M123" s="50"/>
      <c r="N123" s="50"/>
      <c r="O123" s="50"/>
      <c r="P123" s="50"/>
    </row>
    <row r="124" spans="1:16" x14ac:dyDescent="0.25">
      <c r="A124" s="8"/>
      <c r="B124" s="8"/>
      <c r="C124" s="32">
        <f>C123+1</f>
        <v>2029</v>
      </c>
      <c r="D124" s="39">
        <f>D72+D86+D115</f>
        <v>836.46208000000013</v>
      </c>
      <c r="E124" s="39">
        <f t="shared" si="9"/>
        <v>38.883709719691794</v>
      </c>
      <c r="F124" s="39">
        <f>G72+G86+J115</f>
        <v>393.12342000000001</v>
      </c>
      <c r="G124" s="39">
        <f t="shared" si="10"/>
        <v>443.33866000000012</v>
      </c>
      <c r="H124" s="8"/>
      <c r="I124" s="50"/>
      <c r="J124" s="50"/>
      <c r="K124" s="8"/>
      <c r="L124" s="8"/>
      <c r="M124" s="50"/>
      <c r="N124" s="50"/>
      <c r="O124" s="50"/>
      <c r="P124" s="50"/>
    </row>
    <row r="125" spans="1:16" x14ac:dyDescent="0.25">
      <c r="A125" s="8"/>
      <c r="B125" s="8"/>
      <c r="C125" s="32">
        <f>C124+1</f>
        <v>2030</v>
      </c>
      <c r="D125" s="39">
        <f>D73+D87+D116</f>
        <v>443.33866000000012</v>
      </c>
      <c r="E125" s="39">
        <f t="shared" si="9"/>
        <v>16.541539289691791</v>
      </c>
      <c r="F125" s="39">
        <f>G73+G87+J116</f>
        <v>393.12342000000001</v>
      </c>
      <c r="G125" s="39">
        <f t="shared" si="10"/>
        <v>50.215239999999994</v>
      </c>
      <c r="H125" s="8"/>
      <c r="I125" s="50"/>
      <c r="J125" s="50"/>
      <c r="K125" s="8"/>
      <c r="L125" s="8"/>
      <c r="M125" s="50"/>
      <c r="N125" s="50"/>
      <c r="O125" s="50"/>
      <c r="P125" s="50"/>
    </row>
    <row r="126" spans="1:16" x14ac:dyDescent="0.25">
      <c r="A126" s="8"/>
      <c r="B126" s="8"/>
      <c r="C126" s="32">
        <f>C125+1</f>
        <v>2031</v>
      </c>
      <c r="D126" s="39">
        <f>D74+D88+D117</f>
        <v>50.215239999999994</v>
      </c>
      <c r="E126" s="39">
        <f t="shared" si="9"/>
        <v>1.6405938</v>
      </c>
      <c r="F126" s="39">
        <f>G74+G88+J117</f>
        <v>50.215239999999994</v>
      </c>
      <c r="G126" s="39">
        <f t="shared" si="10"/>
        <v>0</v>
      </c>
      <c r="H126" s="8"/>
      <c r="I126" s="50"/>
      <c r="J126" s="50"/>
      <c r="K126" s="8"/>
      <c r="L126" s="8"/>
      <c r="M126" s="50"/>
      <c r="N126" s="50"/>
      <c r="O126" s="50"/>
      <c r="P126" s="50"/>
    </row>
    <row r="127" spans="1:1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5">
      <c r="A128" s="2" t="s">
        <v>265</v>
      </c>
    </row>
    <row r="130" spans="1:16" x14ac:dyDescent="0.25">
      <c r="B130" t="s">
        <v>266</v>
      </c>
      <c r="K130" s="16" t="s">
        <v>270</v>
      </c>
      <c r="L130" s="16" t="s">
        <v>211</v>
      </c>
      <c r="M130" s="16" t="s">
        <v>271</v>
      </c>
      <c r="N130" s="16" t="s">
        <v>272</v>
      </c>
      <c r="O130" s="16" t="s">
        <v>273</v>
      </c>
      <c r="P130" s="16" t="s">
        <v>215</v>
      </c>
    </row>
    <row r="131" spans="1:16" x14ac:dyDescent="0.25">
      <c r="K131" s="32" t="s">
        <v>242</v>
      </c>
      <c r="L131" s="32">
        <v>356.18</v>
      </c>
      <c r="M131" s="32">
        <v>32.950000000000003</v>
      </c>
      <c r="N131" s="39">
        <f>L131*$G$132</f>
        <v>5.7166889999999997</v>
      </c>
      <c r="O131" s="39">
        <f>M131-N131</f>
        <v>27.233311000000004</v>
      </c>
      <c r="P131" s="39">
        <f>L131-O131</f>
        <v>328.94668899999999</v>
      </c>
    </row>
    <row r="132" spans="1:16" x14ac:dyDescent="0.25">
      <c r="C132" s="32" t="s">
        <v>267</v>
      </c>
      <c r="D132" s="33">
        <v>6.4199999999999993E-2</v>
      </c>
      <c r="F132" s="32" t="s">
        <v>274</v>
      </c>
      <c r="G132" s="46">
        <f>D132/4</f>
        <v>1.6049999999999998E-2</v>
      </c>
      <c r="K132" s="32" t="s">
        <v>244</v>
      </c>
      <c r="L132" s="39">
        <f>P131</f>
        <v>328.94668899999999</v>
      </c>
      <c r="M132" s="32">
        <f>M131</f>
        <v>32.950000000000003</v>
      </c>
      <c r="N132" s="39">
        <f t="shared" ref="N132:N142" si="11">L132*$G$132</f>
        <v>5.2795943584499989</v>
      </c>
      <c r="O132" s="39">
        <f t="shared" ref="O132:O142" si="12">M132-N132</f>
        <v>27.670405641550005</v>
      </c>
      <c r="P132" s="39">
        <f t="shared" ref="P132:P142" si="13">L132-O132</f>
        <v>301.27628335844997</v>
      </c>
    </row>
    <row r="133" spans="1:16" x14ac:dyDescent="0.25">
      <c r="K133" s="32" t="s">
        <v>243</v>
      </c>
      <c r="L133" s="39">
        <f t="shared" ref="L133:L141" si="14">P132</f>
        <v>301.27628335844997</v>
      </c>
      <c r="M133" s="32">
        <f t="shared" ref="M133:M142" si="15">M132</f>
        <v>32.950000000000003</v>
      </c>
      <c r="N133" s="39">
        <f t="shared" si="11"/>
        <v>4.8354843479031215</v>
      </c>
      <c r="O133" s="39">
        <f t="shared" si="12"/>
        <v>28.11451565209688</v>
      </c>
      <c r="P133" s="39">
        <f t="shared" si="13"/>
        <v>273.16176770635309</v>
      </c>
    </row>
    <row r="134" spans="1:16" x14ac:dyDescent="0.25">
      <c r="C134" s="16" t="s">
        <v>210</v>
      </c>
      <c r="D134" s="16" t="s">
        <v>211</v>
      </c>
      <c r="E134" s="16" t="s">
        <v>268</v>
      </c>
      <c r="F134" s="16" t="s">
        <v>269</v>
      </c>
      <c r="G134" s="16" t="s">
        <v>215</v>
      </c>
      <c r="K134" s="32" t="s">
        <v>245</v>
      </c>
      <c r="L134" s="39">
        <f t="shared" si="14"/>
        <v>273.16176770635309</v>
      </c>
      <c r="M134" s="32">
        <f t="shared" si="15"/>
        <v>32.950000000000003</v>
      </c>
      <c r="N134" s="39">
        <f t="shared" si="11"/>
        <v>4.3842463716869666</v>
      </c>
      <c r="O134" s="39">
        <f t="shared" si="12"/>
        <v>28.565753628313036</v>
      </c>
      <c r="P134" s="39">
        <f t="shared" si="13"/>
        <v>244.59601407804004</v>
      </c>
    </row>
    <row r="135" spans="1:16" x14ac:dyDescent="0.25">
      <c r="C135" s="32">
        <v>2026</v>
      </c>
      <c r="D135" s="32">
        <f>L131</f>
        <v>356.18</v>
      </c>
      <c r="E135" s="39">
        <f>SUM(N131:N134)</f>
        <v>20.216014078040086</v>
      </c>
      <c r="F135" s="39">
        <f>SUM(O131:O134)</f>
        <v>111.58398592195992</v>
      </c>
      <c r="G135" s="39">
        <f>P134</f>
        <v>244.59601407804004</v>
      </c>
      <c r="K135" s="32" t="s">
        <v>247</v>
      </c>
      <c r="L135" s="39">
        <f t="shared" si="14"/>
        <v>244.59601407804004</v>
      </c>
      <c r="M135" s="32">
        <f t="shared" si="15"/>
        <v>32.950000000000003</v>
      </c>
      <c r="N135" s="39">
        <f t="shared" si="11"/>
        <v>3.9257660259525422</v>
      </c>
      <c r="O135" s="39">
        <f t="shared" si="12"/>
        <v>29.024233974047462</v>
      </c>
      <c r="P135" s="39">
        <f t="shared" si="13"/>
        <v>215.57178010399258</v>
      </c>
    </row>
    <row r="136" spans="1:16" x14ac:dyDescent="0.25">
      <c r="C136" s="32">
        <v>2027</v>
      </c>
      <c r="D136" s="39">
        <f>L135</f>
        <v>244.59601407804004</v>
      </c>
      <c r="E136" s="39">
        <f>SUM(N132:N135)</f>
        <v>18.425091103992628</v>
      </c>
      <c r="F136" s="39">
        <f>SUM(O135:O138)</f>
        <v>118.92199649009929</v>
      </c>
      <c r="G136" s="39">
        <f>P138</f>
        <v>125.67401758794074</v>
      </c>
      <c r="K136" s="32" t="s">
        <v>244</v>
      </c>
      <c r="L136" s="39">
        <f t="shared" si="14"/>
        <v>215.57178010399258</v>
      </c>
      <c r="M136" s="32">
        <f t="shared" si="15"/>
        <v>32.950000000000003</v>
      </c>
      <c r="N136" s="39">
        <f t="shared" si="11"/>
        <v>3.4599270706690803</v>
      </c>
      <c r="O136" s="39">
        <f t="shared" si="12"/>
        <v>29.490072929330921</v>
      </c>
      <c r="P136" s="39">
        <f t="shared" si="13"/>
        <v>186.08170717466166</v>
      </c>
    </row>
    <row r="137" spans="1:16" x14ac:dyDescent="0.25">
      <c r="C137" s="32">
        <v>2028</v>
      </c>
      <c r="D137" s="39">
        <f>L139</f>
        <v>125.67401758794074</v>
      </c>
      <c r="E137" s="39">
        <f>SUM(N133:N136)</f>
        <v>16.605423816211712</v>
      </c>
      <c r="F137" s="39">
        <f>SUM(O139:O142)</f>
        <v>126.72536263041366</v>
      </c>
      <c r="G137" s="32">
        <v>0</v>
      </c>
      <c r="K137" s="32" t="s">
        <v>243</v>
      </c>
      <c r="L137" s="39">
        <f t="shared" si="14"/>
        <v>186.08170717466166</v>
      </c>
      <c r="M137" s="32">
        <f t="shared" si="15"/>
        <v>32.950000000000003</v>
      </c>
      <c r="N137" s="39">
        <f t="shared" si="11"/>
        <v>2.9866114001533193</v>
      </c>
      <c r="O137" s="39">
        <f t="shared" si="12"/>
        <v>29.963388599846684</v>
      </c>
      <c r="P137" s="39">
        <f t="shared" si="13"/>
        <v>156.11831857481496</v>
      </c>
    </row>
    <row r="138" spans="1:16" x14ac:dyDescent="0.25">
      <c r="K138" s="32" t="s">
        <v>245</v>
      </c>
      <c r="L138" s="39">
        <f t="shared" si="14"/>
        <v>156.11831857481496</v>
      </c>
      <c r="M138" s="32">
        <f t="shared" si="15"/>
        <v>32.950000000000003</v>
      </c>
      <c r="N138" s="39">
        <f t="shared" si="11"/>
        <v>2.5056990131257799</v>
      </c>
      <c r="O138" s="39">
        <f t="shared" si="12"/>
        <v>30.444300986874222</v>
      </c>
      <c r="P138" s="39">
        <f t="shared" si="13"/>
        <v>125.67401758794074</v>
      </c>
    </row>
    <row r="139" spans="1:16" x14ac:dyDescent="0.25">
      <c r="K139" s="32" t="s">
        <v>248</v>
      </c>
      <c r="L139" s="39">
        <f t="shared" si="14"/>
        <v>125.67401758794074</v>
      </c>
      <c r="M139" s="32">
        <f t="shared" si="15"/>
        <v>32.950000000000003</v>
      </c>
      <c r="N139" s="39">
        <f t="shared" si="11"/>
        <v>2.0170679822864486</v>
      </c>
      <c r="O139" s="39">
        <f t="shared" si="12"/>
        <v>30.932932017713554</v>
      </c>
      <c r="P139" s="39">
        <f t="shared" si="13"/>
        <v>94.741085570227185</v>
      </c>
    </row>
    <row r="140" spans="1:16" x14ac:dyDescent="0.25">
      <c r="K140" s="32" t="s">
        <v>244</v>
      </c>
      <c r="L140" s="39">
        <f t="shared" si="14"/>
        <v>94.741085570227185</v>
      </c>
      <c r="M140" s="32">
        <f t="shared" si="15"/>
        <v>32.950000000000003</v>
      </c>
      <c r="N140" s="39">
        <f t="shared" si="11"/>
        <v>1.5205944234021462</v>
      </c>
      <c r="O140" s="39">
        <f t="shared" si="12"/>
        <v>31.429405576597858</v>
      </c>
      <c r="P140" s="39">
        <f t="shared" si="13"/>
        <v>63.311679993629326</v>
      </c>
    </row>
    <row r="141" spans="1:16" x14ac:dyDescent="0.25">
      <c r="K141" s="32" t="s">
        <v>243</v>
      </c>
      <c r="L141" s="39">
        <f t="shared" si="14"/>
        <v>63.311679993629326</v>
      </c>
      <c r="M141" s="32">
        <f t="shared" si="15"/>
        <v>32.950000000000003</v>
      </c>
      <c r="N141" s="39">
        <f t="shared" si="11"/>
        <v>1.0161524638977506</v>
      </c>
      <c r="O141" s="39">
        <f t="shared" si="12"/>
        <v>31.933847536102252</v>
      </c>
      <c r="P141" s="39">
        <f t="shared" si="13"/>
        <v>31.377832457527074</v>
      </c>
    </row>
    <row r="142" spans="1:16" x14ac:dyDescent="0.25">
      <c r="K142" s="32" t="s">
        <v>245</v>
      </c>
      <c r="L142" s="39">
        <v>32.450000000000003</v>
      </c>
      <c r="M142" s="32">
        <f t="shared" si="15"/>
        <v>32.950000000000003</v>
      </c>
      <c r="N142" s="39">
        <f t="shared" si="11"/>
        <v>0.52082249999999997</v>
      </c>
      <c r="O142" s="39">
        <f t="shared" si="12"/>
        <v>32.429177500000002</v>
      </c>
      <c r="P142" s="39">
        <f t="shared" si="13"/>
        <v>2.0822500000001298E-2</v>
      </c>
    </row>
    <row r="143" spans="1:1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5">
      <c r="A144" s="2" t="s">
        <v>275</v>
      </c>
    </row>
    <row r="145" spans="2:16" x14ac:dyDescent="0.25">
      <c r="K145" s="16" t="s">
        <v>279</v>
      </c>
      <c r="L145" s="16" t="s">
        <v>211</v>
      </c>
      <c r="M145" s="16" t="s">
        <v>271</v>
      </c>
      <c r="N145" s="16" t="s">
        <v>272</v>
      </c>
      <c r="O145" s="16" t="s">
        <v>273</v>
      </c>
      <c r="P145" s="16" t="s">
        <v>215</v>
      </c>
    </row>
    <row r="146" spans="2:16" x14ac:dyDescent="0.25">
      <c r="B146" t="s">
        <v>276</v>
      </c>
      <c r="K146" s="32">
        <v>1</v>
      </c>
      <c r="L146" s="32">
        <v>829.84</v>
      </c>
      <c r="M146" s="39">
        <v>32.284951</v>
      </c>
      <c r="N146" s="39">
        <f>L146*$G$148</f>
        <v>5.0136166666666666</v>
      </c>
      <c r="O146" s="39">
        <f>M146-N146</f>
        <v>27.271334333333332</v>
      </c>
      <c r="P146" s="39">
        <f>L146-O146</f>
        <v>802.56866566666667</v>
      </c>
    </row>
    <row r="147" spans="2:16" x14ac:dyDescent="0.25">
      <c r="K147" s="32">
        <f>K146+1</f>
        <v>2</v>
      </c>
      <c r="L147" s="39">
        <f>P146</f>
        <v>802.56866566666667</v>
      </c>
      <c r="M147" s="39">
        <f>M146</f>
        <v>32.284951</v>
      </c>
      <c r="N147" s="39">
        <f t="shared" ref="N147:N173" si="16">L147*$G$148</f>
        <v>4.848852355069444</v>
      </c>
      <c r="O147" s="39">
        <f t="shared" ref="O147:O173" si="17">M147-N147</f>
        <v>27.436098644930556</v>
      </c>
      <c r="P147" s="39">
        <f t="shared" ref="P147:P173" si="18">L147-O147</f>
        <v>775.13256702173612</v>
      </c>
    </row>
    <row r="148" spans="2:16" x14ac:dyDescent="0.25">
      <c r="C148" s="32" t="s">
        <v>277</v>
      </c>
      <c r="D148" s="33">
        <v>7.2499999999999995E-2</v>
      </c>
      <c r="F148" s="32" t="s">
        <v>278</v>
      </c>
      <c r="G148" s="25">
        <f>D148/12</f>
        <v>6.0416666666666665E-3</v>
      </c>
      <c r="K148" s="32">
        <f t="shared" ref="K148:K173" si="19">K147+1</f>
        <v>3</v>
      </c>
      <c r="L148" s="39">
        <f t="shared" ref="L148:L173" si="20">P147</f>
        <v>775.13256702173612</v>
      </c>
      <c r="M148" s="39">
        <f t="shared" ref="M148:M173" si="21">M147</f>
        <v>32.284951</v>
      </c>
      <c r="N148" s="39">
        <f t="shared" si="16"/>
        <v>4.6830925924229891</v>
      </c>
      <c r="O148" s="39">
        <f t="shared" si="17"/>
        <v>27.601858407577012</v>
      </c>
      <c r="P148" s="39">
        <f t="shared" si="18"/>
        <v>747.53070861415915</v>
      </c>
    </row>
    <row r="149" spans="2:16" x14ac:dyDescent="0.25">
      <c r="K149" s="32">
        <f t="shared" si="19"/>
        <v>4</v>
      </c>
      <c r="L149" s="39">
        <f t="shared" si="20"/>
        <v>747.53070861415915</v>
      </c>
      <c r="M149" s="39">
        <f t="shared" si="21"/>
        <v>32.284951</v>
      </c>
      <c r="N149" s="39">
        <f t="shared" si="16"/>
        <v>4.5163313645438778</v>
      </c>
      <c r="O149" s="39">
        <f t="shared" si="17"/>
        <v>27.768619635456123</v>
      </c>
      <c r="P149" s="39">
        <f t="shared" si="18"/>
        <v>719.76208897870299</v>
      </c>
    </row>
    <row r="150" spans="2:16" x14ac:dyDescent="0.25">
      <c r="C150" s="16" t="s">
        <v>210</v>
      </c>
      <c r="D150" s="16" t="s">
        <v>211</v>
      </c>
      <c r="E150" s="16" t="s">
        <v>268</v>
      </c>
      <c r="F150" s="16" t="s">
        <v>269</v>
      </c>
      <c r="G150" s="16" t="s">
        <v>215</v>
      </c>
      <c r="K150" s="32">
        <f t="shared" si="19"/>
        <v>5</v>
      </c>
      <c r="L150" s="39">
        <f t="shared" si="20"/>
        <v>719.76208897870299</v>
      </c>
      <c r="M150" s="39">
        <f t="shared" si="21"/>
        <v>32.284951</v>
      </c>
      <c r="N150" s="39">
        <f t="shared" si="16"/>
        <v>4.3485626209129968</v>
      </c>
      <c r="O150" s="39">
        <f t="shared" si="17"/>
        <v>27.936388379087003</v>
      </c>
      <c r="P150" s="39">
        <f t="shared" si="18"/>
        <v>691.82570059961597</v>
      </c>
    </row>
    <row r="151" spans="2:16" x14ac:dyDescent="0.25">
      <c r="C151" s="32">
        <v>2026</v>
      </c>
      <c r="D151" s="32">
        <v>829.84</v>
      </c>
      <c r="E151" s="39">
        <f>SUM(N146:N157)</f>
        <v>49.066950201191808</v>
      </c>
      <c r="F151" s="39">
        <f>SUM(O146:O157)</f>
        <v>338.35246179880818</v>
      </c>
      <c r="G151" s="39">
        <f>D151-F151</f>
        <v>491.48753820119185</v>
      </c>
      <c r="K151" s="32">
        <f t="shared" si="19"/>
        <v>6</v>
      </c>
      <c r="L151" s="39">
        <f t="shared" si="20"/>
        <v>691.82570059961597</v>
      </c>
      <c r="M151" s="39">
        <f t="shared" si="21"/>
        <v>32.284951</v>
      </c>
      <c r="N151" s="39">
        <f t="shared" si="16"/>
        <v>4.1797802744560126</v>
      </c>
      <c r="O151" s="39">
        <f t="shared" si="17"/>
        <v>28.105170725543985</v>
      </c>
      <c r="P151" s="39">
        <f t="shared" si="18"/>
        <v>663.72052987407199</v>
      </c>
    </row>
    <row r="152" spans="2:16" x14ac:dyDescent="0.25">
      <c r="C152" s="32">
        <v>2027</v>
      </c>
      <c r="D152" s="39">
        <f>G151</f>
        <v>491.48753820119185</v>
      </c>
      <c r="E152" s="39">
        <f>SUM(N158:N169)</f>
        <v>23.704625736438313</v>
      </c>
      <c r="F152" s="39">
        <f>SUM(O158:O169)</f>
        <v>363.71478626356173</v>
      </c>
      <c r="G152" s="39">
        <f>D152-F152</f>
        <v>127.77275193763012</v>
      </c>
      <c r="K152" s="32">
        <f t="shared" si="19"/>
        <v>7</v>
      </c>
      <c r="L152" s="39">
        <f t="shared" si="20"/>
        <v>663.72052987407199</v>
      </c>
      <c r="M152" s="39">
        <f t="shared" si="21"/>
        <v>32.284951</v>
      </c>
      <c r="N152" s="39">
        <f t="shared" si="16"/>
        <v>4.009978201322518</v>
      </c>
      <c r="O152" s="39">
        <f t="shared" si="17"/>
        <v>28.274972798677481</v>
      </c>
      <c r="P152" s="39">
        <f t="shared" si="18"/>
        <v>635.4455570753945</v>
      </c>
    </row>
    <row r="153" spans="2:16" x14ac:dyDescent="0.25">
      <c r="C153" s="32">
        <v>2028</v>
      </c>
      <c r="D153" s="39">
        <v>127.2</v>
      </c>
      <c r="E153" s="39">
        <f>SUM(N170:N173)</f>
        <v>1.9408875299771293</v>
      </c>
      <c r="F153" s="39">
        <f>SUM(O170:O173)</f>
        <v>127.19891647002287</v>
      </c>
      <c r="G153" s="39">
        <f>D153-F153</f>
        <v>1.083529977137232E-3</v>
      </c>
      <c r="K153" s="32">
        <f t="shared" si="19"/>
        <v>8</v>
      </c>
      <c r="L153" s="39">
        <f t="shared" si="20"/>
        <v>635.4455570753945</v>
      </c>
      <c r="M153" s="39">
        <f t="shared" si="21"/>
        <v>32.284951</v>
      </c>
      <c r="N153" s="39">
        <f t="shared" si="16"/>
        <v>3.8391502406638418</v>
      </c>
      <c r="O153" s="39">
        <f t="shared" si="17"/>
        <v>28.445800759336159</v>
      </c>
      <c r="P153" s="39">
        <f t="shared" si="18"/>
        <v>606.99975631605832</v>
      </c>
    </row>
    <row r="154" spans="2:16" x14ac:dyDescent="0.25">
      <c r="K154" s="32">
        <f t="shared" si="19"/>
        <v>9</v>
      </c>
      <c r="L154" s="39">
        <f t="shared" si="20"/>
        <v>606.99975631605832</v>
      </c>
      <c r="M154" s="39">
        <f t="shared" si="21"/>
        <v>32.284951</v>
      </c>
      <c r="N154" s="39">
        <f t="shared" si="16"/>
        <v>3.6672901944095191</v>
      </c>
      <c r="O154" s="39">
        <f t="shared" si="17"/>
        <v>28.617660805590482</v>
      </c>
      <c r="P154" s="39">
        <f t="shared" si="18"/>
        <v>578.38209551046782</v>
      </c>
    </row>
    <row r="155" spans="2:16" x14ac:dyDescent="0.25">
      <c r="K155" s="32">
        <f t="shared" si="19"/>
        <v>10</v>
      </c>
      <c r="L155" s="39">
        <f t="shared" si="20"/>
        <v>578.38209551046782</v>
      </c>
      <c r="M155" s="39">
        <f t="shared" si="21"/>
        <v>32.284951</v>
      </c>
      <c r="N155" s="39">
        <f t="shared" si="16"/>
        <v>3.4943918270424095</v>
      </c>
      <c r="O155" s="39">
        <f t="shared" si="17"/>
        <v>28.79055917295759</v>
      </c>
      <c r="P155" s="39">
        <f t="shared" si="18"/>
        <v>549.59153633751021</v>
      </c>
    </row>
    <row r="156" spans="2:16" x14ac:dyDescent="0.25">
      <c r="K156" s="32">
        <f t="shared" si="19"/>
        <v>11</v>
      </c>
      <c r="L156" s="39">
        <f t="shared" si="20"/>
        <v>549.59153633751021</v>
      </c>
      <c r="M156" s="39">
        <f t="shared" si="21"/>
        <v>32.284951</v>
      </c>
      <c r="N156" s="39">
        <f t="shared" si="16"/>
        <v>3.3204488653724575</v>
      </c>
      <c r="O156" s="39">
        <f t="shared" si="17"/>
        <v>28.964502134627541</v>
      </c>
      <c r="P156" s="39">
        <f t="shared" si="18"/>
        <v>520.62703420288267</v>
      </c>
    </row>
    <row r="157" spans="2:16" ht="15.75" thickBot="1" x14ac:dyDescent="0.3">
      <c r="K157" s="35">
        <f t="shared" si="19"/>
        <v>12</v>
      </c>
      <c r="L157" s="48">
        <f t="shared" si="20"/>
        <v>520.62703420288267</v>
      </c>
      <c r="M157" s="48">
        <f t="shared" si="21"/>
        <v>32.284951</v>
      </c>
      <c r="N157" s="48">
        <f t="shared" si="16"/>
        <v>3.1454549983090829</v>
      </c>
      <c r="O157" s="48">
        <f t="shared" si="17"/>
        <v>29.139496001690915</v>
      </c>
      <c r="P157" s="48">
        <f t="shared" si="18"/>
        <v>491.48753820119174</v>
      </c>
    </row>
    <row r="158" spans="2:16" ht="15.75" thickTop="1" x14ac:dyDescent="0.25">
      <c r="K158" s="34">
        <f t="shared" si="19"/>
        <v>13</v>
      </c>
      <c r="L158" s="47">
        <f t="shared" si="20"/>
        <v>491.48753820119174</v>
      </c>
      <c r="M158" s="47">
        <f t="shared" si="21"/>
        <v>32.284951</v>
      </c>
      <c r="N158" s="47">
        <f t="shared" si="16"/>
        <v>2.9694038766322</v>
      </c>
      <c r="O158" s="47">
        <f t="shared" si="17"/>
        <v>29.3155471233678</v>
      </c>
      <c r="P158" s="47">
        <f t="shared" si="18"/>
        <v>462.17199107782392</v>
      </c>
    </row>
    <row r="159" spans="2:16" x14ac:dyDescent="0.25">
      <c r="K159" s="32">
        <f t="shared" si="19"/>
        <v>14</v>
      </c>
      <c r="L159" s="39">
        <f t="shared" si="20"/>
        <v>462.17199107782392</v>
      </c>
      <c r="M159" s="39">
        <f t="shared" si="21"/>
        <v>32.284951</v>
      </c>
      <c r="N159" s="39">
        <f t="shared" si="16"/>
        <v>2.792289112761853</v>
      </c>
      <c r="O159" s="39">
        <f t="shared" si="17"/>
        <v>29.492661887238146</v>
      </c>
      <c r="P159" s="39">
        <f t="shared" si="18"/>
        <v>432.67932919058575</v>
      </c>
    </row>
    <row r="160" spans="2:16" x14ac:dyDescent="0.25">
      <c r="K160" s="32">
        <f t="shared" si="19"/>
        <v>15</v>
      </c>
      <c r="L160" s="39">
        <f t="shared" si="20"/>
        <v>432.67932919058575</v>
      </c>
      <c r="M160" s="39">
        <f t="shared" si="21"/>
        <v>32.284951</v>
      </c>
      <c r="N160" s="39">
        <f t="shared" si="16"/>
        <v>2.6141042805264556</v>
      </c>
      <c r="O160" s="39">
        <f t="shared" si="17"/>
        <v>29.670846719473545</v>
      </c>
      <c r="P160" s="39">
        <f t="shared" si="18"/>
        <v>403.00848247111219</v>
      </c>
    </row>
    <row r="161" spans="1:16" x14ac:dyDescent="0.25">
      <c r="K161" s="32">
        <f t="shared" si="19"/>
        <v>16</v>
      </c>
      <c r="L161" s="39">
        <f t="shared" si="20"/>
        <v>403.00848247111219</v>
      </c>
      <c r="M161" s="39">
        <f t="shared" si="21"/>
        <v>32.284951</v>
      </c>
      <c r="N161" s="39">
        <f t="shared" si="16"/>
        <v>2.4348429149296362</v>
      </c>
      <c r="O161" s="39">
        <f t="shared" si="17"/>
        <v>29.850108085070364</v>
      </c>
      <c r="P161" s="39">
        <f t="shared" si="18"/>
        <v>373.15837438604183</v>
      </c>
    </row>
    <row r="162" spans="1:16" x14ac:dyDescent="0.25">
      <c r="K162" s="32">
        <f t="shared" si="19"/>
        <v>17</v>
      </c>
      <c r="L162" s="39">
        <f t="shared" si="20"/>
        <v>373.15837438604183</v>
      </c>
      <c r="M162" s="39">
        <f t="shared" si="21"/>
        <v>32.284951</v>
      </c>
      <c r="N162" s="39">
        <f t="shared" si="16"/>
        <v>2.2544985119156693</v>
      </c>
      <c r="O162" s="39">
        <f t="shared" si="17"/>
        <v>30.030452488084329</v>
      </c>
      <c r="P162" s="39">
        <f t="shared" si="18"/>
        <v>343.12792189795749</v>
      </c>
    </row>
    <row r="163" spans="1:16" x14ac:dyDescent="0.25">
      <c r="K163" s="32">
        <f t="shared" si="19"/>
        <v>18</v>
      </c>
      <c r="L163" s="39">
        <f t="shared" si="20"/>
        <v>343.12792189795749</v>
      </c>
      <c r="M163" s="39">
        <f t="shared" si="21"/>
        <v>32.284951</v>
      </c>
      <c r="N163" s="39">
        <f t="shared" si="16"/>
        <v>2.073064528133493</v>
      </c>
      <c r="O163" s="39">
        <f t="shared" si="17"/>
        <v>30.211886471866507</v>
      </c>
      <c r="P163" s="39">
        <f t="shared" si="18"/>
        <v>312.91603542609096</v>
      </c>
    </row>
    <row r="164" spans="1:16" x14ac:dyDescent="0.25">
      <c r="K164" s="32">
        <f t="shared" si="19"/>
        <v>19</v>
      </c>
      <c r="L164" s="39">
        <f t="shared" si="20"/>
        <v>312.91603542609096</v>
      </c>
      <c r="M164" s="39">
        <f t="shared" si="21"/>
        <v>32.284951</v>
      </c>
      <c r="N164" s="39">
        <f t="shared" si="16"/>
        <v>1.8905343806992996</v>
      </c>
      <c r="O164" s="39">
        <f t="shared" si="17"/>
        <v>30.394416619300699</v>
      </c>
      <c r="P164" s="39">
        <f t="shared" si="18"/>
        <v>282.52161880679023</v>
      </c>
    </row>
    <row r="165" spans="1:16" x14ac:dyDescent="0.25">
      <c r="K165" s="32">
        <f t="shared" si="19"/>
        <v>20</v>
      </c>
      <c r="L165" s="39">
        <f t="shared" si="20"/>
        <v>282.52161880679023</v>
      </c>
      <c r="M165" s="39">
        <f t="shared" si="21"/>
        <v>32.284951</v>
      </c>
      <c r="N165" s="39">
        <f t="shared" si="16"/>
        <v>1.7069014469576909</v>
      </c>
      <c r="O165" s="39">
        <f t="shared" si="17"/>
        <v>30.578049553042309</v>
      </c>
      <c r="P165" s="39">
        <f t="shared" si="18"/>
        <v>251.94356925374791</v>
      </c>
    </row>
    <row r="166" spans="1:16" x14ac:dyDescent="0.25">
      <c r="K166" s="32">
        <f t="shared" si="19"/>
        <v>21</v>
      </c>
      <c r="L166" s="39">
        <f t="shared" si="20"/>
        <v>251.94356925374791</v>
      </c>
      <c r="M166" s="39">
        <f t="shared" si="21"/>
        <v>32.284951</v>
      </c>
      <c r="N166" s="39">
        <f t="shared" si="16"/>
        <v>1.5221590642413936</v>
      </c>
      <c r="O166" s="39">
        <f t="shared" si="17"/>
        <v>30.762791935758607</v>
      </c>
      <c r="P166" s="39">
        <f t="shared" si="18"/>
        <v>221.18077731798931</v>
      </c>
    </row>
    <row r="167" spans="1:16" x14ac:dyDescent="0.25">
      <c r="K167" s="32">
        <f t="shared" si="19"/>
        <v>22</v>
      </c>
      <c r="L167" s="39">
        <f t="shared" si="20"/>
        <v>221.18077731798931</v>
      </c>
      <c r="M167" s="39">
        <f t="shared" si="21"/>
        <v>32.284951</v>
      </c>
      <c r="N167" s="39">
        <f t="shared" si="16"/>
        <v>1.3363005296295187</v>
      </c>
      <c r="O167" s="39">
        <f t="shared" si="17"/>
        <v>30.948650470370481</v>
      </c>
      <c r="P167" s="39">
        <f t="shared" si="18"/>
        <v>190.23212684761882</v>
      </c>
    </row>
    <row r="168" spans="1:16" x14ac:dyDescent="0.25">
      <c r="K168" s="32">
        <f t="shared" si="19"/>
        <v>23</v>
      </c>
      <c r="L168" s="39">
        <f t="shared" si="20"/>
        <v>190.23212684761882</v>
      </c>
      <c r="M168" s="39">
        <f t="shared" si="21"/>
        <v>32.284951</v>
      </c>
      <c r="N168" s="39">
        <f t="shared" si="16"/>
        <v>1.1493190997043636</v>
      </c>
      <c r="O168" s="39">
        <f t="shared" si="17"/>
        <v>31.135631900295635</v>
      </c>
      <c r="P168" s="39">
        <f t="shared" si="18"/>
        <v>159.09649494732318</v>
      </c>
    </row>
    <row r="169" spans="1:16" ht="15.75" thickBot="1" x14ac:dyDescent="0.3">
      <c r="K169" s="35">
        <f t="shared" si="19"/>
        <v>24</v>
      </c>
      <c r="L169" s="48">
        <f t="shared" si="20"/>
        <v>159.09649494732318</v>
      </c>
      <c r="M169" s="48">
        <f t="shared" si="21"/>
        <v>32.284951</v>
      </c>
      <c r="N169" s="48">
        <f t="shared" si="16"/>
        <v>0.9612079903067442</v>
      </c>
      <c r="O169" s="48">
        <f t="shared" si="17"/>
        <v>31.323743009693256</v>
      </c>
      <c r="P169" s="48">
        <f t="shared" si="18"/>
        <v>127.77275193762992</v>
      </c>
    </row>
    <row r="170" spans="1:16" ht="15.75" thickTop="1" x14ac:dyDescent="0.25">
      <c r="K170" s="34">
        <f t="shared" si="19"/>
        <v>25</v>
      </c>
      <c r="L170" s="47">
        <f t="shared" si="20"/>
        <v>127.77275193762992</v>
      </c>
      <c r="M170" s="47">
        <f t="shared" si="21"/>
        <v>32.284951</v>
      </c>
      <c r="N170" s="47">
        <f t="shared" si="16"/>
        <v>0.77196037628984737</v>
      </c>
      <c r="O170" s="47">
        <f t="shared" si="17"/>
        <v>31.512990623710152</v>
      </c>
      <c r="P170" s="47">
        <f t="shared" si="18"/>
        <v>96.259761313919768</v>
      </c>
    </row>
    <row r="171" spans="1:16" x14ac:dyDescent="0.25">
      <c r="K171" s="32">
        <f>K170+1</f>
        <v>26</v>
      </c>
      <c r="L171" s="39">
        <f t="shared" si="20"/>
        <v>96.259761313919768</v>
      </c>
      <c r="M171" s="39">
        <f t="shared" si="21"/>
        <v>32.284951</v>
      </c>
      <c r="N171" s="39">
        <f t="shared" si="16"/>
        <v>0.58156939127159857</v>
      </c>
      <c r="O171" s="39">
        <f t="shared" si="17"/>
        <v>31.703381608728399</v>
      </c>
      <c r="P171" s="39">
        <f t="shared" si="18"/>
        <v>64.556379705191375</v>
      </c>
    </row>
    <row r="172" spans="1:16" x14ac:dyDescent="0.25">
      <c r="K172" s="32">
        <f t="shared" si="19"/>
        <v>27</v>
      </c>
      <c r="L172" s="39">
        <f t="shared" si="20"/>
        <v>64.556379705191375</v>
      </c>
      <c r="M172" s="39">
        <f t="shared" si="21"/>
        <v>32.284951</v>
      </c>
      <c r="N172" s="39">
        <f t="shared" si="16"/>
        <v>0.39002812738553122</v>
      </c>
      <c r="O172" s="39">
        <f t="shared" si="17"/>
        <v>31.894922872614469</v>
      </c>
      <c r="P172" s="39">
        <f t="shared" si="18"/>
        <v>32.661456832576903</v>
      </c>
    </row>
    <row r="173" spans="1:16" x14ac:dyDescent="0.25">
      <c r="K173" s="32">
        <f t="shared" si="19"/>
        <v>28</v>
      </c>
      <c r="L173" s="39">
        <f t="shared" si="20"/>
        <v>32.661456832576903</v>
      </c>
      <c r="M173" s="39">
        <f t="shared" si="21"/>
        <v>32.284951</v>
      </c>
      <c r="N173" s="39">
        <f t="shared" si="16"/>
        <v>0.19732963503015211</v>
      </c>
      <c r="O173" s="39">
        <f t="shared" si="17"/>
        <v>32.087621364969849</v>
      </c>
      <c r="P173" s="39">
        <f t="shared" si="18"/>
        <v>0.57383546760705428</v>
      </c>
    </row>
    <row r="174" spans="1:1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6" spans="1:16" x14ac:dyDescent="0.25">
      <c r="C176" s="51" t="s">
        <v>210</v>
      </c>
      <c r="D176" s="51" t="s">
        <v>211</v>
      </c>
      <c r="E176" s="51" t="s">
        <v>57</v>
      </c>
      <c r="F176" s="51" t="s">
        <v>280</v>
      </c>
      <c r="G176" s="51" t="s">
        <v>215</v>
      </c>
    </row>
    <row r="177" spans="3:10" x14ac:dyDescent="0.25">
      <c r="C177" s="32">
        <v>2026</v>
      </c>
      <c r="D177" s="36">
        <f>D151+D135+D121+D52</f>
        <v>6876.0791399999998</v>
      </c>
      <c r="E177" s="36">
        <f>E151+E135+E121+E52</f>
        <v>372.3059552587867</v>
      </c>
      <c r="F177" s="36">
        <f>F151+F135+F121+F52</f>
        <v>2063.0806677207679</v>
      </c>
      <c r="G177" s="36">
        <f>G151+G135+G121+G52</f>
        <v>4812.9984722792324</v>
      </c>
    </row>
    <row r="178" spans="3:10" x14ac:dyDescent="0.25">
      <c r="C178" s="32">
        <f>C177+1</f>
        <v>2027</v>
      </c>
      <c r="D178" s="36">
        <f t="shared" ref="D178:G182" si="22">D152+D136+D122+D53</f>
        <v>4812.9984722792324</v>
      </c>
      <c r="E178" s="36">
        <f t="shared" si="22"/>
        <v>246.21855645025971</v>
      </c>
      <c r="F178" s="36">
        <f t="shared" si="22"/>
        <v>2042.5502027536611</v>
      </c>
      <c r="G178" s="36">
        <f t="shared" si="22"/>
        <v>2770.448269525571</v>
      </c>
    </row>
    <row r="179" spans="3:10" x14ac:dyDescent="0.25">
      <c r="C179" s="32">
        <f>C178+1</f>
        <v>2028</v>
      </c>
      <c r="D179" s="36">
        <f t="shared" si="22"/>
        <v>2769.875517587941</v>
      </c>
      <c r="E179" s="36">
        <f t="shared" si="22"/>
        <v>140.28932360471521</v>
      </c>
      <c r="F179" s="36">
        <f t="shared" si="22"/>
        <v>1334.4636991004363</v>
      </c>
      <c r="G179" s="36">
        <f t="shared" si="22"/>
        <v>1436.4631635299772</v>
      </c>
    </row>
    <row r="180" spans="3:10" x14ac:dyDescent="0.25">
      <c r="C180" s="32">
        <f>C179+1</f>
        <v>2029</v>
      </c>
      <c r="D180" s="36">
        <f t="shared" si="22"/>
        <v>1436.4620800000002</v>
      </c>
      <c r="E180" s="36">
        <f t="shared" si="22"/>
        <v>57.139161774486311</v>
      </c>
      <c r="F180" s="36">
        <f t="shared" si="22"/>
        <v>993.12342000000001</v>
      </c>
      <c r="G180" s="36">
        <f t="shared" si="22"/>
        <v>443.33866000000012</v>
      </c>
    </row>
    <row r="181" spans="3:10" x14ac:dyDescent="0.25">
      <c r="C181" s="32">
        <f>C180+1</f>
        <v>2030</v>
      </c>
      <c r="D181" s="36">
        <f t="shared" si="22"/>
        <v>443.33866000000012</v>
      </c>
      <c r="E181" s="36">
        <f t="shared" si="22"/>
        <v>16.541539289691791</v>
      </c>
      <c r="F181" s="36">
        <f t="shared" si="22"/>
        <v>393.12342000000001</v>
      </c>
      <c r="G181" s="36">
        <f t="shared" si="22"/>
        <v>50.215239999999994</v>
      </c>
    </row>
    <row r="182" spans="3:10" x14ac:dyDescent="0.25">
      <c r="C182" s="32">
        <f>C181+1</f>
        <v>2031</v>
      </c>
      <c r="D182" s="36">
        <f>G181</f>
        <v>50.215239999999994</v>
      </c>
      <c r="E182" s="36">
        <f t="shared" si="22"/>
        <v>1.6405938</v>
      </c>
      <c r="F182" s="36">
        <f t="shared" si="22"/>
        <v>50.215239999999994</v>
      </c>
      <c r="G182" s="36">
        <f t="shared" si="22"/>
        <v>0</v>
      </c>
    </row>
    <row r="183" spans="3:10" x14ac:dyDescent="0.25">
      <c r="C183" s="8"/>
      <c r="D183" s="8"/>
      <c r="E183" s="8"/>
      <c r="F183" s="8"/>
      <c r="G183" s="8"/>
    </row>
    <row r="184" spans="3:10" x14ac:dyDescent="0.25">
      <c r="C184" s="54"/>
      <c r="D184" s="55"/>
      <c r="E184" s="55">
        <v>2026</v>
      </c>
      <c r="F184" s="55">
        <v>2027</v>
      </c>
      <c r="G184" s="55">
        <v>2028</v>
      </c>
      <c r="H184" s="55">
        <v>2029</v>
      </c>
      <c r="I184" s="55">
        <v>2030</v>
      </c>
      <c r="J184" s="55">
        <v>2031</v>
      </c>
    </row>
    <row r="185" spans="3:10" x14ac:dyDescent="0.25">
      <c r="C185" s="54"/>
      <c r="D185" s="32"/>
      <c r="E185" s="32"/>
      <c r="F185" s="32"/>
      <c r="G185" s="32"/>
      <c r="H185" s="54"/>
      <c r="I185" s="54"/>
      <c r="J185" s="32"/>
    </row>
    <row r="186" spans="3:10" x14ac:dyDescent="0.25">
      <c r="C186" s="55" t="s">
        <v>211</v>
      </c>
      <c r="D186" s="32"/>
      <c r="E186" s="36">
        <f>D177</f>
        <v>6876.0791399999998</v>
      </c>
      <c r="F186" s="36">
        <f>D178</f>
        <v>4812.9984722792324</v>
      </c>
      <c r="G186" s="36">
        <f>D179</f>
        <v>2769.875517587941</v>
      </c>
      <c r="H186" s="36">
        <f>D180</f>
        <v>1436.4620800000002</v>
      </c>
      <c r="I186" s="36">
        <f>D181</f>
        <v>443.33866000000012</v>
      </c>
      <c r="J186" s="36">
        <f>I189</f>
        <v>50.215240000000108</v>
      </c>
    </row>
    <row r="187" spans="3:10" x14ac:dyDescent="0.25">
      <c r="C187" s="55" t="s">
        <v>57</v>
      </c>
      <c r="D187" s="32"/>
      <c r="E187" s="36">
        <f>E177</f>
        <v>372.3059552587867</v>
      </c>
      <c r="F187" s="36">
        <f>E178</f>
        <v>246.21855645025971</v>
      </c>
      <c r="G187" s="36">
        <f>E179</f>
        <v>140.28932360471521</v>
      </c>
      <c r="H187" s="36">
        <f>E180</f>
        <v>57.139161774486311</v>
      </c>
      <c r="I187" s="36">
        <f>E181</f>
        <v>16.541539289691791</v>
      </c>
      <c r="J187" s="36">
        <f>E182</f>
        <v>1.6405938</v>
      </c>
    </row>
    <row r="188" spans="3:10" x14ac:dyDescent="0.25">
      <c r="C188" s="55" t="s">
        <v>280</v>
      </c>
      <c r="D188" s="32"/>
      <c r="E188" s="36">
        <f>F177</f>
        <v>2063.0806677207679</v>
      </c>
      <c r="F188" s="36">
        <f>F178</f>
        <v>2042.5502027536611</v>
      </c>
      <c r="G188" s="36">
        <f>F179</f>
        <v>1334.4636991004363</v>
      </c>
      <c r="H188" s="36">
        <f>F180</f>
        <v>993.12342000000001</v>
      </c>
      <c r="I188" s="36">
        <f>F181</f>
        <v>393.12342000000001</v>
      </c>
      <c r="J188" s="36">
        <f>G181</f>
        <v>50.215239999999994</v>
      </c>
    </row>
    <row r="189" spans="3:10" x14ac:dyDescent="0.25">
      <c r="C189" s="55" t="s">
        <v>215</v>
      </c>
      <c r="D189" s="32"/>
      <c r="E189" s="36">
        <f t="shared" ref="E189:J189" si="23">E186-E188</f>
        <v>4812.9984722792324</v>
      </c>
      <c r="F189" s="36">
        <f t="shared" si="23"/>
        <v>2770.448269525571</v>
      </c>
      <c r="G189" s="36">
        <f t="shared" si="23"/>
        <v>1435.4118184875047</v>
      </c>
      <c r="H189" s="36">
        <f t="shared" si="23"/>
        <v>443.33866000000023</v>
      </c>
      <c r="I189" s="36">
        <f t="shared" si="23"/>
        <v>50.215240000000108</v>
      </c>
      <c r="J189" s="36">
        <f t="shared" si="23"/>
        <v>1.1368683772161603E-13</v>
      </c>
    </row>
    <row r="582" spans="3:9" x14ac:dyDescent="0.25">
      <c r="C582" s="56"/>
    </row>
    <row r="588" spans="3:9" x14ac:dyDescent="0.25">
      <c r="I588" s="56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B37E-018B-42D2-8B87-2B750B793DC7}">
  <dimension ref="A1:U643"/>
  <sheetViews>
    <sheetView topLeftCell="A557" zoomScaleNormal="100" workbookViewId="0">
      <selection activeCell="F579" sqref="F579"/>
    </sheetView>
  </sheetViews>
  <sheetFormatPr defaultRowHeight="15" outlineLevelRow="2" x14ac:dyDescent="0.25"/>
  <cols>
    <col min="1" max="2" width="4.7109375" customWidth="1"/>
    <col min="3" max="3" width="68.5703125" bestFit="1" customWidth="1"/>
    <col min="4" max="4" width="9.28515625" bestFit="1" customWidth="1"/>
    <col min="5" max="5" width="11.7109375" bestFit="1" customWidth="1"/>
    <col min="6" max="6" width="12.28515625" bestFit="1" customWidth="1"/>
    <col min="7" max="9" width="12.85546875" bestFit="1" customWidth="1"/>
    <col min="10" max="10" width="14.5703125" bestFit="1" customWidth="1"/>
    <col min="11" max="11" width="17" bestFit="1" customWidth="1"/>
    <col min="12" max="15" width="13.42578125" bestFit="1" customWidth="1"/>
  </cols>
  <sheetData>
    <row r="1" spans="1:15" ht="15.75" thickBot="1" x14ac:dyDescent="0.3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15" ht="25.5" x14ac:dyDescent="0.35">
      <c r="A2" s="176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/>
    </row>
    <row r="3" spans="1:15" ht="26.25" thickBot="1" x14ac:dyDescent="0.4">
      <c r="A3" s="177" t="s">
        <v>1</v>
      </c>
      <c r="B3" s="59"/>
      <c r="C3" s="59"/>
      <c r="D3" s="59"/>
      <c r="E3" s="59"/>
      <c r="F3" s="60"/>
      <c r="G3" s="60"/>
      <c r="H3" s="60"/>
      <c r="I3" s="60"/>
      <c r="J3" s="60"/>
      <c r="K3" s="60"/>
      <c r="L3" s="60"/>
      <c r="M3" s="60"/>
      <c r="N3" s="60"/>
      <c r="O3" s="61"/>
    </row>
    <row r="4" spans="1:15" ht="15.75" x14ac:dyDescent="0.25">
      <c r="A4" s="1"/>
      <c r="B4" s="62"/>
      <c r="C4" s="62"/>
      <c r="D4" s="62"/>
      <c r="E4" s="62"/>
      <c r="F4" s="56"/>
      <c r="G4" s="56"/>
      <c r="H4" s="56"/>
      <c r="I4" s="56"/>
      <c r="J4" s="56"/>
      <c r="K4" s="56"/>
      <c r="L4" s="56"/>
      <c r="M4" s="56"/>
      <c r="N4" s="56"/>
      <c r="O4" s="56"/>
    </row>
    <row r="5" spans="1:15" ht="15.75" hidden="1" outlineLevel="1" x14ac:dyDescent="0.25">
      <c r="A5" s="1"/>
      <c r="B5" s="56" t="s">
        <v>2</v>
      </c>
      <c r="C5" s="56"/>
      <c r="D5" s="56">
        <v>2026</v>
      </c>
      <c r="E5" s="56"/>
      <c r="F5" s="56"/>
      <c r="G5" s="56"/>
      <c r="H5" s="56"/>
      <c r="I5" s="56"/>
      <c r="J5" s="56"/>
      <c r="K5" s="68">
        <f>$D$5</f>
        <v>2026</v>
      </c>
      <c r="L5" s="68">
        <f>K5+1</f>
        <v>2027</v>
      </c>
      <c r="M5" s="68">
        <f>L5+1</f>
        <v>2028</v>
      </c>
      <c r="N5" s="68">
        <f>M5+1</f>
        <v>2029</v>
      </c>
      <c r="O5" s="68">
        <f>N5+1</f>
        <v>2030</v>
      </c>
    </row>
    <row r="6" spans="1:15" ht="15.75" hidden="1" outlineLevel="1" x14ac:dyDescent="0.25">
      <c r="A6" s="1"/>
      <c r="B6" s="56"/>
      <c r="C6" s="56" t="s">
        <v>171</v>
      </c>
      <c r="D6" s="69">
        <v>0.05</v>
      </c>
      <c r="E6" s="56"/>
      <c r="F6" s="56"/>
      <c r="G6" s="56"/>
      <c r="H6" s="56"/>
      <c r="I6" s="56"/>
      <c r="J6" s="56"/>
      <c r="K6" s="70"/>
      <c r="L6" s="70"/>
      <c r="M6" s="70"/>
      <c r="N6" s="70"/>
      <c r="O6" s="70"/>
    </row>
    <row r="7" spans="1:15" ht="15.75" hidden="1" outlineLevel="1" x14ac:dyDescent="0.25">
      <c r="A7" s="1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</row>
    <row r="8" spans="1:15" hidden="1" outlineLevel="1" x14ac:dyDescent="0.25">
      <c r="B8" s="72" t="s">
        <v>3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</row>
    <row r="9" spans="1:15" hidden="1" outlineLevel="1" x14ac:dyDescent="0.25"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</row>
    <row r="10" spans="1:15" hidden="1" outlineLevel="1" x14ac:dyDescent="0.25">
      <c r="B10" s="73" t="s">
        <v>111</v>
      </c>
      <c r="C10" s="74"/>
      <c r="D10" s="74">
        <v>1</v>
      </c>
      <c r="E10" s="74"/>
      <c r="F10" s="74"/>
      <c r="G10" s="74"/>
      <c r="H10" s="74"/>
      <c r="I10" s="74"/>
      <c r="J10" s="74"/>
      <c r="K10" s="75">
        <f>CHOOSE($D$10,K12,K13,K14)</f>
        <v>0.11</v>
      </c>
      <c r="L10" s="76">
        <f>CHOOSE($D$10,L12,L13,L14)</f>
        <v>0.1</v>
      </c>
      <c r="M10" s="76">
        <f>CHOOSE($D$10,M12,M13,M14)</f>
        <v>0.09</v>
      </c>
      <c r="N10" s="76">
        <f>CHOOSE($D$10,N12,N13,N14)</f>
        <v>0.08</v>
      </c>
      <c r="O10" s="77">
        <f>CHOOSE($D$10,O12,O13,O14)</f>
        <v>7.0000000000000007E-2</v>
      </c>
    </row>
    <row r="11" spans="1:15" hidden="1" outlineLevel="1" x14ac:dyDescent="0.25">
      <c r="B11" s="78"/>
      <c r="C11" s="79"/>
      <c r="D11" s="79"/>
      <c r="E11" s="79"/>
      <c r="F11" s="79"/>
      <c r="G11" s="79"/>
      <c r="H11" s="79"/>
      <c r="I11" s="79"/>
      <c r="J11" s="79"/>
      <c r="K11" s="78"/>
      <c r="L11" s="79"/>
      <c r="M11" s="79"/>
      <c r="N11" s="79"/>
      <c r="O11" s="80"/>
    </row>
    <row r="12" spans="1:15" hidden="1" outlineLevel="1" x14ac:dyDescent="0.25">
      <c r="B12" s="78" t="s">
        <v>4</v>
      </c>
      <c r="C12" s="79"/>
      <c r="D12" s="79"/>
      <c r="E12" s="79"/>
      <c r="F12" s="79"/>
      <c r="G12" s="79"/>
      <c r="H12" s="79"/>
      <c r="I12" s="79"/>
      <c r="J12" s="79"/>
      <c r="K12" s="81">
        <v>0.11</v>
      </c>
      <c r="L12" s="82">
        <v>0.1</v>
      </c>
      <c r="M12" s="83">
        <v>0.09</v>
      </c>
      <c r="N12" s="83">
        <v>0.08</v>
      </c>
      <c r="O12" s="84">
        <v>7.0000000000000007E-2</v>
      </c>
    </row>
    <row r="13" spans="1:15" hidden="1" outlineLevel="1" x14ac:dyDescent="0.25">
      <c r="B13" s="78" t="s">
        <v>5</v>
      </c>
      <c r="C13" s="79"/>
      <c r="D13" s="79"/>
      <c r="E13" s="79"/>
      <c r="F13" s="79"/>
      <c r="G13" s="79"/>
      <c r="H13" s="79"/>
      <c r="I13" s="79"/>
      <c r="J13" s="79"/>
      <c r="K13" s="81">
        <v>0.14000000000000001</v>
      </c>
      <c r="L13" s="83">
        <v>0.13</v>
      </c>
      <c r="M13" s="83">
        <v>0.13</v>
      </c>
      <c r="N13" s="83">
        <v>0.13</v>
      </c>
      <c r="O13" s="84">
        <v>0.13</v>
      </c>
    </row>
    <row r="14" spans="1:15" hidden="1" outlineLevel="1" x14ac:dyDescent="0.25">
      <c r="B14" s="85" t="s">
        <v>6</v>
      </c>
      <c r="C14" s="86"/>
      <c r="D14" s="86"/>
      <c r="E14" s="86"/>
      <c r="F14" s="86"/>
      <c r="G14" s="86"/>
      <c r="H14" s="86"/>
      <c r="I14" s="86"/>
      <c r="J14" s="86"/>
      <c r="K14" s="87">
        <v>0.08</v>
      </c>
      <c r="L14" s="88">
        <v>0.08</v>
      </c>
      <c r="M14" s="88">
        <v>7.0000000000000007E-2</v>
      </c>
      <c r="N14" s="88">
        <v>0.06</v>
      </c>
      <c r="O14" s="89">
        <v>0.05</v>
      </c>
    </row>
    <row r="15" spans="1:15" hidden="1" outlineLevel="1" x14ac:dyDescent="0.25"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</row>
    <row r="16" spans="1:15" hidden="1" outlineLevel="1" x14ac:dyDescent="0.25">
      <c r="B16" s="73" t="s">
        <v>115</v>
      </c>
      <c r="C16" s="74"/>
      <c r="D16" s="74">
        <v>1</v>
      </c>
      <c r="E16" s="74"/>
      <c r="F16" s="74"/>
      <c r="G16" s="74"/>
      <c r="H16" s="74"/>
      <c r="I16" s="74"/>
      <c r="J16" s="74"/>
      <c r="K16" s="75">
        <f>CHOOSE($D$16,K18,K19,K20)</f>
        <v>0.3</v>
      </c>
      <c r="L16" s="76">
        <f>CHOOSE($D$16,L18,L19,L20)</f>
        <v>0.15</v>
      </c>
      <c r="M16" s="76">
        <f>CHOOSE($D$16,M18,M19,M20)</f>
        <v>0.14000000000000001</v>
      </c>
      <c r="N16" s="76">
        <f>CHOOSE($D$16,N18,N19,N20)</f>
        <v>0.13</v>
      </c>
      <c r="O16" s="77">
        <f>CHOOSE($D$16,O18,O19,O20)</f>
        <v>0.12</v>
      </c>
    </row>
    <row r="17" spans="2:15" hidden="1" outlineLevel="1" x14ac:dyDescent="0.25">
      <c r="B17" s="78"/>
      <c r="C17" s="79"/>
      <c r="D17" s="79"/>
      <c r="E17" s="79"/>
      <c r="F17" s="79"/>
      <c r="G17" s="79"/>
      <c r="H17" s="79"/>
      <c r="I17" s="79"/>
      <c r="J17" s="79"/>
      <c r="K17" s="78"/>
      <c r="L17" s="79"/>
      <c r="M17" s="79"/>
      <c r="N17" s="79"/>
      <c r="O17" s="80"/>
    </row>
    <row r="18" spans="2:15" hidden="1" outlineLevel="1" x14ac:dyDescent="0.25">
      <c r="B18" s="78" t="s">
        <v>4</v>
      </c>
      <c r="C18" s="79"/>
      <c r="D18" s="79"/>
      <c r="E18" s="79"/>
      <c r="F18" s="79"/>
      <c r="G18" s="79"/>
      <c r="H18" s="79"/>
      <c r="I18" s="79"/>
      <c r="J18" s="79"/>
      <c r="K18" s="81">
        <v>0.3</v>
      </c>
      <c r="L18" s="83">
        <v>0.15</v>
      </c>
      <c r="M18" s="83">
        <v>0.14000000000000001</v>
      </c>
      <c r="N18" s="83">
        <v>0.13</v>
      </c>
      <c r="O18" s="84">
        <v>0.12</v>
      </c>
    </row>
    <row r="19" spans="2:15" hidden="1" outlineLevel="1" x14ac:dyDescent="0.25">
      <c r="B19" s="78" t="s">
        <v>5</v>
      </c>
      <c r="C19" s="79"/>
      <c r="D19" s="79"/>
      <c r="E19" s="79"/>
      <c r="F19" s="79"/>
      <c r="G19" s="79"/>
      <c r="H19" s="79"/>
      <c r="I19" s="79"/>
      <c r="J19" s="79"/>
      <c r="K19" s="81">
        <v>0.34</v>
      </c>
      <c r="L19" s="83">
        <v>0.17</v>
      </c>
      <c r="M19" s="83">
        <v>0.16</v>
      </c>
      <c r="N19" s="83">
        <v>0.15</v>
      </c>
      <c r="O19" s="84">
        <v>0.14000000000000001</v>
      </c>
    </row>
    <row r="20" spans="2:15" hidden="1" outlineLevel="1" x14ac:dyDescent="0.25">
      <c r="B20" s="85" t="s">
        <v>6</v>
      </c>
      <c r="C20" s="86"/>
      <c r="D20" s="86"/>
      <c r="E20" s="86"/>
      <c r="F20" s="86"/>
      <c r="G20" s="86"/>
      <c r="H20" s="86"/>
      <c r="I20" s="86"/>
      <c r="J20" s="86"/>
      <c r="K20" s="87">
        <v>0.24</v>
      </c>
      <c r="L20" s="88">
        <v>0.1</v>
      </c>
      <c r="M20" s="88">
        <v>0.1</v>
      </c>
      <c r="N20" s="88">
        <v>0.1</v>
      </c>
      <c r="O20" s="89">
        <v>0.1</v>
      </c>
    </row>
    <row r="21" spans="2:15" hidden="1" outlineLevel="1" x14ac:dyDescent="0.25"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</row>
    <row r="22" spans="2:15" hidden="1" outlineLevel="1" x14ac:dyDescent="0.25">
      <c r="B22" s="73" t="s">
        <v>122</v>
      </c>
      <c r="C22" s="74"/>
      <c r="D22" s="74">
        <v>1</v>
      </c>
      <c r="E22" s="74"/>
      <c r="F22" s="74"/>
      <c r="G22" s="74"/>
      <c r="H22" s="74"/>
      <c r="I22" s="74"/>
      <c r="J22" s="74"/>
      <c r="K22" s="90">
        <f>CHOOSE($D$22,K24,K25,K26)</f>
        <v>5.0000000000000001E-3</v>
      </c>
      <c r="L22" s="91">
        <f>CHOOSE($D$22,L24,L25,L26)</f>
        <v>1.4999999999999999E-2</v>
      </c>
      <c r="M22" s="91">
        <f>CHOOSE($D$22,M24,M25,M26)</f>
        <v>0.02</v>
      </c>
      <c r="N22" s="91">
        <f>CHOOSE($D$22,N24,N25,N26)</f>
        <v>2.5000000000000001E-2</v>
      </c>
      <c r="O22" s="92">
        <f>CHOOSE($D$22,O24,O25,O26)</f>
        <v>2.5000000000000001E-2</v>
      </c>
    </row>
    <row r="23" spans="2:15" hidden="1" outlineLevel="1" x14ac:dyDescent="0.25">
      <c r="B23" s="78"/>
      <c r="C23" s="79"/>
      <c r="D23" s="79"/>
      <c r="E23" s="79"/>
      <c r="F23" s="79"/>
      <c r="G23" s="79"/>
      <c r="H23" s="79"/>
      <c r="I23" s="79"/>
      <c r="J23" s="79"/>
      <c r="K23" s="78"/>
      <c r="L23" s="79"/>
      <c r="M23" s="79"/>
      <c r="N23" s="79"/>
      <c r="O23" s="80"/>
    </row>
    <row r="24" spans="2:15" hidden="1" outlineLevel="1" x14ac:dyDescent="0.25">
      <c r="B24" s="78" t="s">
        <v>4</v>
      </c>
      <c r="C24" s="79"/>
      <c r="D24" s="79"/>
      <c r="E24" s="79"/>
      <c r="F24" s="79"/>
      <c r="G24" s="79"/>
      <c r="H24" s="79"/>
      <c r="I24" s="79"/>
      <c r="J24" s="79"/>
      <c r="K24" s="93">
        <v>5.0000000000000001E-3</v>
      </c>
      <c r="L24" s="94">
        <v>1.4999999999999999E-2</v>
      </c>
      <c r="M24" s="94">
        <v>0.02</v>
      </c>
      <c r="N24" s="94">
        <v>2.5000000000000001E-2</v>
      </c>
      <c r="O24" s="95">
        <v>2.5000000000000001E-2</v>
      </c>
    </row>
    <row r="25" spans="2:15" hidden="1" outlineLevel="1" x14ac:dyDescent="0.25">
      <c r="B25" s="78" t="s">
        <v>5</v>
      </c>
      <c r="C25" s="79"/>
      <c r="D25" s="79"/>
      <c r="E25" s="79"/>
      <c r="F25" s="79"/>
      <c r="G25" s="79"/>
      <c r="H25" s="79"/>
      <c r="I25" s="79"/>
      <c r="J25" s="79"/>
      <c r="K25" s="93">
        <v>0.02</v>
      </c>
      <c r="L25" s="94">
        <v>0.03</v>
      </c>
      <c r="M25" s="94">
        <v>0.04</v>
      </c>
      <c r="N25" s="94">
        <v>0.04</v>
      </c>
      <c r="O25" s="95">
        <v>0.04</v>
      </c>
    </row>
    <row r="26" spans="2:15" hidden="1" outlineLevel="1" x14ac:dyDescent="0.25">
      <c r="B26" s="85" t="s">
        <v>6</v>
      </c>
      <c r="C26" s="86"/>
      <c r="D26" s="86"/>
      <c r="E26" s="86"/>
      <c r="F26" s="86"/>
      <c r="G26" s="86"/>
      <c r="H26" s="86"/>
      <c r="I26" s="86"/>
      <c r="J26" s="86"/>
      <c r="K26" s="96">
        <v>-1.4999999999999999E-2</v>
      </c>
      <c r="L26" s="97">
        <v>-5.0000000000000001E-3</v>
      </c>
      <c r="M26" s="97">
        <v>5.0000000000000001E-3</v>
      </c>
      <c r="N26" s="97">
        <v>0.01</v>
      </c>
      <c r="O26" s="98">
        <v>0.01</v>
      </c>
    </row>
    <row r="27" spans="2:15" hidden="1" outlineLevel="1" x14ac:dyDescent="0.25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</row>
    <row r="28" spans="2:15" hidden="1" outlineLevel="1" x14ac:dyDescent="0.25">
      <c r="B28" s="73" t="s">
        <v>123</v>
      </c>
      <c r="C28" s="74"/>
      <c r="D28" s="74">
        <v>1</v>
      </c>
      <c r="E28" s="74"/>
      <c r="F28" s="74"/>
      <c r="G28" s="74"/>
      <c r="H28" s="74"/>
      <c r="I28" s="74"/>
      <c r="J28" s="74"/>
      <c r="K28" s="90">
        <f>CHOOSE($D$28,K30,K31,K32)</f>
        <v>0.06</v>
      </c>
      <c r="L28" s="91">
        <f>CHOOSE($D$28,L30,L31,L32)</f>
        <v>2.5000000000000001E-2</v>
      </c>
      <c r="M28" s="91">
        <f>CHOOSE($D$28,M30,M31,M32)</f>
        <v>2.5000000000000001E-2</v>
      </c>
      <c r="N28" s="91">
        <f>CHOOSE($D$28,N30,N31,N32)</f>
        <v>2.5000000000000001E-2</v>
      </c>
      <c r="O28" s="92">
        <f>CHOOSE($D$28,O30,O31,O32)</f>
        <v>2.5000000000000001E-2</v>
      </c>
    </row>
    <row r="29" spans="2:15" hidden="1" outlineLevel="1" x14ac:dyDescent="0.25">
      <c r="B29" s="78"/>
      <c r="C29" s="79"/>
      <c r="D29" s="79"/>
      <c r="E29" s="79"/>
      <c r="F29" s="79"/>
      <c r="G29" s="79"/>
      <c r="H29" s="79"/>
      <c r="I29" s="79"/>
      <c r="J29" s="79"/>
      <c r="K29" s="73"/>
      <c r="L29" s="79"/>
      <c r="M29" s="79"/>
      <c r="N29" s="79"/>
      <c r="O29" s="80"/>
    </row>
    <row r="30" spans="2:15" hidden="1" outlineLevel="1" x14ac:dyDescent="0.25">
      <c r="B30" s="78" t="s">
        <v>4</v>
      </c>
      <c r="C30" s="79"/>
      <c r="D30" s="79"/>
      <c r="E30" s="79"/>
      <c r="F30" s="79"/>
      <c r="G30" s="79"/>
      <c r="H30" s="79"/>
      <c r="I30" s="79"/>
      <c r="J30" s="79"/>
      <c r="K30" s="99">
        <v>0.06</v>
      </c>
      <c r="L30" s="100">
        <v>2.5000000000000001E-2</v>
      </c>
      <c r="M30" s="100">
        <v>2.5000000000000001E-2</v>
      </c>
      <c r="N30" s="100">
        <v>2.5000000000000001E-2</v>
      </c>
      <c r="O30" s="101">
        <v>2.5000000000000001E-2</v>
      </c>
    </row>
    <row r="31" spans="2:15" hidden="1" outlineLevel="1" x14ac:dyDescent="0.25">
      <c r="B31" s="78" t="s">
        <v>5</v>
      </c>
      <c r="C31" s="79"/>
      <c r="D31" s="79"/>
      <c r="E31" s="79"/>
      <c r="F31" s="79"/>
      <c r="G31" s="79"/>
      <c r="H31" s="79"/>
      <c r="I31" s="79"/>
      <c r="J31" s="79"/>
      <c r="K31" s="93">
        <v>0.09</v>
      </c>
      <c r="L31" s="94">
        <v>4.4999999999999998E-2</v>
      </c>
      <c r="M31" s="94">
        <v>0.04</v>
      </c>
      <c r="N31" s="94">
        <v>0.04</v>
      </c>
      <c r="O31" s="95">
        <v>0.04</v>
      </c>
    </row>
    <row r="32" spans="2:15" hidden="1" outlineLevel="1" x14ac:dyDescent="0.25">
      <c r="B32" s="85" t="s">
        <v>6</v>
      </c>
      <c r="C32" s="86"/>
      <c r="D32" s="86"/>
      <c r="E32" s="86"/>
      <c r="F32" s="86"/>
      <c r="G32" s="86"/>
      <c r="H32" s="86"/>
      <c r="I32" s="86"/>
      <c r="J32" s="86"/>
      <c r="K32" s="96">
        <v>0.01</v>
      </c>
      <c r="L32" s="97">
        <v>0</v>
      </c>
      <c r="M32" s="97">
        <v>0.01</v>
      </c>
      <c r="N32" s="102">
        <v>1.4999999999999999E-2</v>
      </c>
      <c r="O32" s="103">
        <v>1.4999999999999999E-2</v>
      </c>
    </row>
    <row r="33" spans="2:15" hidden="1" outlineLevel="1" x14ac:dyDescent="0.25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</row>
    <row r="34" spans="2:15" hidden="1" outlineLevel="1" x14ac:dyDescent="0.25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</row>
    <row r="35" spans="2:15" hidden="1" outlineLevel="1" x14ac:dyDescent="0.25">
      <c r="B35" s="104" t="s">
        <v>118</v>
      </c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105"/>
    </row>
    <row r="36" spans="2:15" hidden="1" outlineLevel="1" x14ac:dyDescent="0.25">
      <c r="B36" s="78"/>
      <c r="C36" s="79" t="s">
        <v>125</v>
      </c>
      <c r="D36" s="79" t="s">
        <v>117</v>
      </c>
      <c r="E36" s="79"/>
      <c r="F36" s="79"/>
      <c r="G36" s="79"/>
      <c r="H36" s="79"/>
      <c r="I36" s="79"/>
      <c r="J36" s="79"/>
      <c r="K36" s="106">
        <f>K10</f>
        <v>0.11</v>
      </c>
      <c r="L36" s="106">
        <f>L10</f>
        <v>0.1</v>
      </c>
      <c r="M36" s="106">
        <f>M10</f>
        <v>0.09</v>
      </c>
      <c r="N36" s="106">
        <f>N10</f>
        <v>0.08</v>
      </c>
      <c r="O36" s="107">
        <f>O10</f>
        <v>7.0000000000000007E-2</v>
      </c>
    </row>
    <row r="37" spans="2:15" hidden="1" outlineLevel="1" x14ac:dyDescent="0.25">
      <c r="B37" s="78"/>
      <c r="C37" s="79" t="s">
        <v>124</v>
      </c>
      <c r="D37" s="79" t="s">
        <v>117</v>
      </c>
      <c r="E37" s="79"/>
      <c r="F37" s="79"/>
      <c r="G37" s="79"/>
      <c r="H37" s="79"/>
      <c r="I37" s="79"/>
      <c r="J37" s="79"/>
      <c r="K37" s="108">
        <f>K22</f>
        <v>5.0000000000000001E-3</v>
      </c>
      <c r="L37" s="108">
        <f>L22</f>
        <v>1.4999999999999999E-2</v>
      </c>
      <c r="M37" s="108">
        <f>M22</f>
        <v>0.02</v>
      </c>
      <c r="N37" s="108">
        <f>N22</f>
        <v>2.5000000000000001E-2</v>
      </c>
      <c r="O37" s="109">
        <f>O22</f>
        <v>2.5000000000000001E-2</v>
      </c>
    </row>
    <row r="38" spans="2:15" hidden="1" outlineLevel="1" x14ac:dyDescent="0.25">
      <c r="B38" s="85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110"/>
    </row>
    <row r="39" spans="2:15" hidden="1" outlineLevel="1" x14ac:dyDescent="0.25">
      <c r="B39" s="111" t="s">
        <v>119</v>
      </c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110"/>
    </row>
    <row r="40" spans="2:15" hidden="1" outlineLevel="1" x14ac:dyDescent="0.25">
      <c r="B40" s="78"/>
      <c r="C40" s="79" t="s">
        <v>116</v>
      </c>
      <c r="D40" s="79" t="s">
        <v>117</v>
      </c>
      <c r="E40" s="79"/>
      <c r="F40" s="79"/>
      <c r="G40" s="79"/>
      <c r="H40" s="79"/>
      <c r="I40" s="79"/>
      <c r="J40" s="79"/>
      <c r="K40" s="106">
        <f>K16</f>
        <v>0.3</v>
      </c>
      <c r="L40" s="106">
        <f>L16</f>
        <v>0.15</v>
      </c>
      <c r="M40" s="106">
        <f>M16</f>
        <v>0.14000000000000001</v>
      </c>
      <c r="N40" s="106">
        <f>N16</f>
        <v>0.13</v>
      </c>
      <c r="O40" s="107">
        <f>O16</f>
        <v>0.12</v>
      </c>
    </row>
    <row r="41" spans="2:15" hidden="1" outlineLevel="1" x14ac:dyDescent="0.25">
      <c r="B41" s="78"/>
      <c r="C41" s="79" t="s">
        <v>124</v>
      </c>
      <c r="D41" s="79" t="s">
        <v>117</v>
      </c>
      <c r="E41" s="79"/>
      <c r="F41" s="79"/>
      <c r="G41" s="79"/>
      <c r="H41" s="79"/>
      <c r="I41" s="79"/>
      <c r="J41" s="79"/>
      <c r="K41" s="108">
        <f>K28</f>
        <v>0.06</v>
      </c>
      <c r="L41" s="108">
        <f>L28</f>
        <v>2.5000000000000001E-2</v>
      </c>
      <c r="M41" s="108">
        <f>M28</f>
        <v>2.5000000000000001E-2</v>
      </c>
      <c r="N41" s="108">
        <f>N28</f>
        <v>2.5000000000000001E-2</v>
      </c>
      <c r="O41" s="109">
        <f>O28</f>
        <v>2.5000000000000001E-2</v>
      </c>
    </row>
    <row r="42" spans="2:15" hidden="1" outlineLevel="1" x14ac:dyDescent="0.25">
      <c r="B42" s="85"/>
      <c r="C42" s="86" t="s">
        <v>132</v>
      </c>
      <c r="D42" s="86" t="s">
        <v>117</v>
      </c>
      <c r="E42" s="86"/>
      <c r="F42" s="86"/>
      <c r="G42" s="86"/>
      <c r="H42" s="86"/>
      <c r="I42" s="86"/>
      <c r="J42" s="86"/>
      <c r="K42" s="112">
        <f>$J$246</f>
        <v>7.7229312807707035E-2</v>
      </c>
      <c r="L42" s="112">
        <f>$J$246</f>
        <v>7.7229312807707035E-2</v>
      </c>
      <c r="M42" s="112">
        <f>$J$246</f>
        <v>7.7229312807707035E-2</v>
      </c>
      <c r="N42" s="112">
        <f>$J$246</f>
        <v>7.7229312807707035E-2</v>
      </c>
      <c r="O42" s="113">
        <f>$J$246</f>
        <v>7.7229312807707035E-2</v>
      </c>
    </row>
    <row r="43" spans="2:15" hidden="1" outlineLevel="1" x14ac:dyDescent="0.25"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</row>
    <row r="44" spans="2:15" hidden="1" outlineLevel="1" x14ac:dyDescent="0.25"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</row>
    <row r="45" spans="2:15" hidden="1" outlineLevel="1" x14ac:dyDescent="0.25">
      <c r="B45" s="104" t="s">
        <v>133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105"/>
    </row>
    <row r="46" spans="2:15" hidden="1" outlineLevel="1" x14ac:dyDescent="0.25">
      <c r="B46" s="78"/>
      <c r="C46" s="79" t="s">
        <v>137</v>
      </c>
      <c r="D46" s="79" t="s">
        <v>117</v>
      </c>
      <c r="E46" s="79"/>
      <c r="F46" s="79"/>
      <c r="G46" s="79"/>
      <c r="H46" s="79"/>
      <c r="I46" s="79"/>
      <c r="J46" s="79"/>
      <c r="K46" s="114">
        <f>$J$258</f>
        <v>0.44400923075909093</v>
      </c>
      <c r="L46" s="114">
        <f>$J$258</f>
        <v>0.44400923075909093</v>
      </c>
      <c r="M46" s="114">
        <f>$J$258</f>
        <v>0.44400923075909093</v>
      </c>
      <c r="N46" s="114">
        <f>$J$258</f>
        <v>0.44400923075909093</v>
      </c>
      <c r="O46" s="115">
        <f>$J$258</f>
        <v>0.44400923075909093</v>
      </c>
    </row>
    <row r="47" spans="2:15" hidden="1" outlineLevel="1" x14ac:dyDescent="0.25">
      <c r="B47" s="85"/>
      <c r="C47" s="86" t="s">
        <v>138</v>
      </c>
      <c r="D47" s="86" t="s">
        <v>117</v>
      </c>
      <c r="E47" s="86"/>
      <c r="F47" s="86"/>
      <c r="G47" s="86"/>
      <c r="H47" s="86"/>
      <c r="I47" s="86"/>
      <c r="J47" s="86"/>
      <c r="K47" s="116">
        <f>$J$263</f>
        <v>0.22556760627180639</v>
      </c>
      <c r="L47" s="116">
        <f>$J$263</f>
        <v>0.22556760627180639</v>
      </c>
      <c r="M47" s="116">
        <f>$J$263</f>
        <v>0.22556760627180639</v>
      </c>
      <c r="N47" s="116">
        <f>$J$263</f>
        <v>0.22556760627180639</v>
      </c>
      <c r="O47" s="117">
        <f>$J$263</f>
        <v>0.22556760627180639</v>
      </c>
    </row>
    <row r="48" spans="2:15" hidden="1" outlineLevel="1" x14ac:dyDescent="0.25">
      <c r="B48" s="79"/>
      <c r="C48" s="79"/>
      <c r="D48" s="79"/>
      <c r="E48" s="79"/>
      <c r="F48" s="79"/>
      <c r="G48" s="79"/>
      <c r="H48" s="79"/>
      <c r="I48" s="79"/>
      <c r="J48" s="79"/>
      <c r="K48" s="118"/>
      <c r="L48" s="118"/>
      <c r="M48" s="118"/>
      <c r="N48" s="118"/>
      <c r="O48" s="118"/>
    </row>
    <row r="49" spans="2:16" hidden="1" outlineLevel="1" x14ac:dyDescent="0.25">
      <c r="B49" s="79"/>
      <c r="C49" s="79"/>
      <c r="D49" s="79"/>
      <c r="E49" s="79"/>
      <c r="F49" s="79"/>
      <c r="G49" s="79"/>
      <c r="H49" s="79"/>
      <c r="I49" s="79"/>
      <c r="J49" s="79"/>
      <c r="K49" s="118"/>
      <c r="L49" s="118"/>
      <c r="M49" s="118"/>
      <c r="N49" s="118"/>
      <c r="O49" s="118"/>
    </row>
    <row r="50" spans="2:16" hidden="1" outlineLevel="1" x14ac:dyDescent="0.25">
      <c r="B50" s="104" t="s">
        <v>165</v>
      </c>
      <c r="C50" s="74"/>
      <c r="D50" s="74"/>
      <c r="E50" s="105"/>
      <c r="F50" s="119"/>
      <c r="G50" s="119"/>
      <c r="H50" s="119"/>
      <c r="I50" s="119"/>
      <c r="J50" s="119"/>
      <c r="K50" s="120"/>
      <c r="L50" s="120"/>
      <c r="M50" s="120"/>
      <c r="N50" s="120"/>
      <c r="O50" s="120"/>
    </row>
    <row r="51" spans="2:16" hidden="1" outlineLevel="1" x14ac:dyDescent="0.25">
      <c r="B51" s="121"/>
      <c r="C51" s="79"/>
      <c r="D51" s="79"/>
      <c r="E51" s="115"/>
      <c r="F51" s="119"/>
      <c r="G51" s="119"/>
      <c r="H51" s="119"/>
      <c r="I51" s="119"/>
      <c r="J51" s="119"/>
      <c r="K51" s="120"/>
      <c r="L51" s="120"/>
      <c r="M51" s="120"/>
      <c r="N51" s="120"/>
      <c r="O51" s="120"/>
    </row>
    <row r="52" spans="2:16" hidden="1" outlineLevel="1" x14ac:dyDescent="0.25">
      <c r="B52" s="121"/>
      <c r="C52" s="79" t="s">
        <v>166</v>
      </c>
      <c r="D52" s="79"/>
      <c r="E52" s="115">
        <v>2.0420000000000001E-2</v>
      </c>
      <c r="F52" s="119"/>
      <c r="G52" s="119"/>
      <c r="H52" s="119"/>
      <c r="I52" s="119"/>
      <c r="J52" s="119"/>
      <c r="K52" s="120"/>
      <c r="L52" s="120"/>
      <c r="M52" s="120"/>
      <c r="N52" s="120"/>
      <c r="O52" s="120"/>
    </row>
    <row r="53" spans="2:16" hidden="1" outlineLevel="1" x14ac:dyDescent="0.25">
      <c r="B53" s="78"/>
      <c r="C53" s="79" t="s">
        <v>167</v>
      </c>
      <c r="D53" s="79"/>
      <c r="E53" s="115">
        <v>0.81133999999999995</v>
      </c>
      <c r="F53" s="119"/>
      <c r="G53" s="119"/>
      <c r="H53" s="119"/>
      <c r="I53" s="119"/>
      <c r="J53" s="119"/>
      <c r="K53" s="120"/>
      <c r="L53" s="120"/>
      <c r="M53" s="120"/>
      <c r="N53" s="120"/>
      <c r="O53" s="120"/>
    </row>
    <row r="54" spans="2:16" hidden="1" outlineLevel="1" x14ac:dyDescent="0.25">
      <c r="B54" s="85"/>
      <c r="C54" s="86" t="s">
        <v>168</v>
      </c>
      <c r="D54" s="86"/>
      <c r="E54" s="113">
        <v>0.16824</v>
      </c>
      <c r="F54" s="119"/>
      <c r="G54" s="119"/>
      <c r="H54" s="119"/>
      <c r="I54" s="119"/>
      <c r="J54" s="119"/>
      <c r="K54" s="120"/>
      <c r="L54" s="120"/>
      <c r="M54" s="120"/>
      <c r="N54" s="120"/>
      <c r="O54" s="120"/>
    </row>
    <row r="55" spans="2:16" hidden="1" outlineLevel="1" x14ac:dyDescent="0.25">
      <c r="B55" s="71"/>
      <c r="C55" s="71"/>
      <c r="D55" s="71"/>
      <c r="E55" s="122"/>
      <c r="F55" s="123"/>
      <c r="G55" s="123"/>
      <c r="H55" s="123"/>
      <c r="I55" s="123"/>
      <c r="J55" s="123"/>
      <c r="K55" s="123"/>
      <c r="L55" s="123"/>
      <c r="M55" s="123"/>
      <c r="N55" s="123"/>
      <c r="O55" s="123"/>
    </row>
    <row r="56" spans="2:16" hidden="1" outlineLevel="1" x14ac:dyDescent="0.25">
      <c r="B56" s="104" t="s">
        <v>154</v>
      </c>
      <c r="C56" s="74"/>
      <c r="D56" s="74"/>
      <c r="E56" s="74"/>
      <c r="F56" s="124"/>
      <c r="G56" s="124"/>
      <c r="H56" s="124"/>
      <c r="I56" s="124"/>
      <c r="J56" s="124"/>
      <c r="K56" s="124"/>
      <c r="L56" s="124"/>
      <c r="M56" s="124"/>
      <c r="N56" s="124"/>
      <c r="O56" s="125"/>
    </row>
    <row r="57" spans="2:16" hidden="1" outlineLevel="1" x14ac:dyDescent="0.25">
      <c r="B57" s="121"/>
      <c r="C57" s="79" t="s">
        <v>170</v>
      </c>
      <c r="D57" s="79"/>
      <c r="E57" s="79"/>
      <c r="F57" s="119"/>
      <c r="G57" s="119"/>
      <c r="H57" s="119"/>
      <c r="I57" s="119"/>
      <c r="J57" s="119"/>
      <c r="K57" s="119">
        <v>5000</v>
      </c>
      <c r="L57" s="119">
        <f>K57*(1+$D$6)</f>
        <v>5250</v>
      </c>
      <c r="M57" s="119">
        <f>L57*(1+$D$6)</f>
        <v>5512.5</v>
      </c>
      <c r="N57" s="119">
        <f>M57*(1+$D$6)</f>
        <v>5788.125</v>
      </c>
      <c r="O57" s="126">
        <f>N57*(1+$D$6)</f>
        <v>6077.53125</v>
      </c>
    </row>
    <row r="58" spans="2:16" hidden="1" outlineLevel="1" x14ac:dyDescent="0.25">
      <c r="B58" s="121"/>
      <c r="C58" s="127" t="s">
        <v>172</v>
      </c>
      <c r="D58" s="79"/>
      <c r="E58" s="79"/>
      <c r="F58" s="119"/>
      <c r="G58" s="119"/>
      <c r="H58" s="119"/>
      <c r="I58" s="119"/>
      <c r="J58" s="119">
        <v>10634.17</v>
      </c>
      <c r="K58" s="119">
        <f>J58*(1+$D$6)</f>
        <v>11165.878500000001</v>
      </c>
      <c r="L58" s="119">
        <f>K406</f>
        <v>13102.57943291684</v>
      </c>
      <c r="M58" s="119">
        <f>L406</f>
        <v>14023.967730534931</v>
      </c>
      <c r="N58" s="119">
        <f>M406</f>
        <v>15004.450029766867</v>
      </c>
      <c r="O58" s="119">
        <f>N406</f>
        <v>16083.349731684462</v>
      </c>
    </row>
    <row r="59" spans="2:16" hidden="1" outlineLevel="1" x14ac:dyDescent="0.25">
      <c r="B59" s="78"/>
      <c r="C59" s="127" t="s">
        <v>173</v>
      </c>
      <c r="D59" s="79"/>
      <c r="E59" s="79"/>
      <c r="F59" s="119"/>
      <c r="G59" s="119"/>
      <c r="H59" s="119"/>
      <c r="I59" s="119"/>
      <c r="J59" s="119"/>
      <c r="K59" s="119">
        <v>4900</v>
      </c>
      <c r="L59" s="119"/>
      <c r="M59" s="119"/>
      <c r="N59" s="119"/>
      <c r="O59" s="126"/>
    </row>
    <row r="60" spans="2:16" hidden="1" outlineLevel="1" x14ac:dyDescent="0.25">
      <c r="B60" s="78"/>
      <c r="C60" s="127" t="s">
        <v>175</v>
      </c>
      <c r="D60" s="79"/>
      <c r="E60" s="79"/>
      <c r="F60" s="119"/>
      <c r="G60" s="119"/>
      <c r="H60" s="119"/>
      <c r="I60" s="119"/>
      <c r="J60" s="119"/>
      <c r="K60" s="119"/>
      <c r="L60" s="119"/>
      <c r="M60" s="119"/>
      <c r="N60" s="119"/>
      <c r="O60" s="126"/>
    </row>
    <row r="61" spans="2:16" hidden="1" outlineLevel="1" x14ac:dyDescent="0.25">
      <c r="B61" s="85"/>
      <c r="C61" s="128" t="s">
        <v>295</v>
      </c>
      <c r="D61" s="86"/>
      <c r="E61" s="86"/>
      <c r="F61" s="129"/>
      <c r="G61" s="129"/>
      <c r="H61" s="129"/>
      <c r="I61" s="129"/>
      <c r="J61" s="129"/>
      <c r="K61" s="129">
        <v>3144</v>
      </c>
      <c r="L61" s="129"/>
      <c r="M61" s="129"/>
      <c r="N61" s="129"/>
      <c r="O61" s="130"/>
    </row>
    <row r="62" spans="2:16" hidden="1" outlineLevel="1" x14ac:dyDescent="0.25">
      <c r="B62" s="78"/>
      <c r="C62" s="127" t="s">
        <v>174</v>
      </c>
      <c r="D62" s="79"/>
      <c r="E62" s="79"/>
      <c r="F62" s="119"/>
      <c r="G62" s="119"/>
      <c r="H62" s="119"/>
      <c r="I62" s="119"/>
      <c r="J62" s="119"/>
      <c r="K62" s="119">
        <f>SUM(K57:K61)</f>
        <v>24209.878499999999</v>
      </c>
      <c r="L62" s="119">
        <f>SUM(L57:L61)</f>
        <v>18352.579432916842</v>
      </c>
      <c r="M62" s="119">
        <f>SUM(M57:M61)</f>
        <v>19536.467730534932</v>
      </c>
      <c r="N62" s="119">
        <f>SUM(N57:N61)</f>
        <v>20792.575029766867</v>
      </c>
      <c r="O62" s="126">
        <f>SUM(O57:O61)</f>
        <v>22160.880981684462</v>
      </c>
      <c r="P62" s="4"/>
    </row>
    <row r="63" spans="2:16" hidden="1" outlineLevel="1" x14ac:dyDescent="0.25">
      <c r="B63" s="78"/>
      <c r="C63" s="79"/>
      <c r="D63" s="79"/>
      <c r="E63" s="79"/>
      <c r="F63" s="119"/>
      <c r="G63" s="119"/>
      <c r="H63" s="119"/>
      <c r="I63" s="119"/>
      <c r="J63" s="119"/>
      <c r="K63" s="119"/>
      <c r="L63" s="119"/>
      <c r="M63" s="119"/>
      <c r="N63" s="119"/>
      <c r="O63" s="126"/>
    </row>
    <row r="64" spans="2:16" hidden="1" outlineLevel="1" x14ac:dyDescent="0.25">
      <c r="B64" s="85"/>
      <c r="C64" s="131" t="s">
        <v>195</v>
      </c>
      <c r="D64" s="86"/>
      <c r="E64" s="86"/>
      <c r="F64" s="129"/>
      <c r="G64" s="129"/>
      <c r="H64" s="129"/>
      <c r="I64" s="129"/>
      <c r="J64" s="132">
        <v>0.5</v>
      </c>
      <c r="K64" s="129"/>
      <c r="L64" s="129"/>
      <c r="M64" s="129"/>
      <c r="N64" s="129"/>
      <c r="O64" s="130"/>
    </row>
    <row r="65" spans="1:15" hidden="1" outlineLevel="1" x14ac:dyDescent="0.25">
      <c r="B65" s="71"/>
      <c r="C65" s="71"/>
      <c r="D65" s="71"/>
      <c r="E65" s="71"/>
      <c r="F65" s="123"/>
      <c r="G65" s="123"/>
      <c r="H65" s="123"/>
      <c r="I65" s="123"/>
      <c r="J65" s="123"/>
      <c r="K65" s="123"/>
      <c r="L65" s="123"/>
      <c r="M65" s="123"/>
      <c r="N65" s="123"/>
      <c r="O65" s="123"/>
    </row>
    <row r="66" spans="1:15" hidden="1" outlineLevel="1" x14ac:dyDescent="0.25">
      <c r="B66" s="71"/>
      <c r="C66" s="71"/>
      <c r="D66" s="71"/>
      <c r="E66" s="71"/>
      <c r="F66" s="123"/>
      <c r="G66" s="123"/>
      <c r="H66" s="123"/>
      <c r="I66" s="123"/>
      <c r="J66" s="123"/>
      <c r="K66" s="123"/>
      <c r="L66" s="123"/>
      <c r="M66" s="123"/>
      <c r="N66" s="123"/>
      <c r="O66" s="123"/>
    </row>
    <row r="67" spans="1:15" hidden="1" outlineLevel="1" x14ac:dyDescent="0.25">
      <c r="B67" s="104" t="s">
        <v>207</v>
      </c>
      <c r="C67" s="74"/>
      <c r="D67" s="74"/>
      <c r="E67" s="74"/>
      <c r="F67" s="124"/>
      <c r="G67" s="124"/>
      <c r="H67" s="124"/>
      <c r="I67" s="124"/>
      <c r="J67" s="124"/>
      <c r="K67" s="124"/>
      <c r="L67" s="124"/>
      <c r="M67" s="124"/>
      <c r="N67" s="124"/>
      <c r="O67" s="125"/>
    </row>
    <row r="68" spans="1:15" hidden="1" outlineLevel="1" x14ac:dyDescent="0.25">
      <c r="B68" s="78"/>
      <c r="C68" s="79" t="s">
        <v>334</v>
      </c>
      <c r="D68" s="79"/>
      <c r="E68" s="79"/>
      <c r="F68" s="119"/>
      <c r="G68" s="119"/>
      <c r="H68" s="119"/>
      <c r="I68" s="119"/>
      <c r="J68" s="119">
        <v>1889.34</v>
      </c>
      <c r="K68" s="119">
        <f>J68*(1+K283)</f>
        <v>2270.6546263568857</v>
      </c>
      <c r="L68" s="119">
        <f>K68*(1+L283)</f>
        <v>2588.4620979088236</v>
      </c>
      <c r="M68" s="119">
        <f>L68*(1+M283)</f>
        <v>2935.0525137598697</v>
      </c>
      <c r="N68" s="119">
        <f>M68*(1+N283)</f>
        <v>3309.5172228182623</v>
      </c>
      <c r="O68" s="133">
        <f>N68*(1+O283)</f>
        <v>3699.6876339681389</v>
      </c>
    </row>
    <row r="69" spans="1:15" hidden="1" outlineLevel="1" x14ac:dyDescent="0.25">
      <c r="B69" s="78"/>
      <c r="C69" s="79" t="s">
        <v>344</v>
      </c>
      <c r="D69" s="79"/>
      <c r="E69" s="79"/>
      <c r="F69" s="119"/>
      <c r="G69" s="119"/>
      <c r="H69" s="119"/>
      <c r="I69" s="119"/>
      <c r="J69" s="119"/>
      <c r="K69" s="134">
        <v>0.10249999999999999</v>
      </c>
      <c r="L69" s="134">
        <f>K69</f>
        <v>0.10249999999999999</v>
      </c>
      <c r="M69" s="134">
        <f t="shared" ref="M69:O70" si="0">L69</f>
        <v>0.10249999999999999</v>
      </c>
      <c r="N69" s="134">
        <f t="shared" si="0"/>
        <v>0.10249999999999999</v>
      </c>
      <c r="O69" s="135">
        <f t="shared" si="0"/>
        <v>0.10249999999999999</v>
      </c>
    </row>
    <row r="70" spans="1:15" hidden="1" outlineLevel="1" x14ac:dyDescent="0.25">
      <c r="B70" s="85"/>
      <c r="C70" s="86" t="s">
        <v>326</v>
      </c>
      <c r="D70" s="86"/>
      <c r="E70" s="86"/>
      <c r="F70" s="129"/>
      <c r="G70" s="129"/>
      <c r="H70" s="129"/>
      <c r="I70" s="129"/>
      <c r="J70" s="129"/>
      <c r="K70" s="136">
        <v>0.06</v>
      </c>
      <c r="L70" s="136">
        <f>K70</f>
        <v>0.06</v>
      </c>
      <c r="M70" s="136">
        <f t="shared" si="0"/>
        <v>0.06</v>
      </c>
      <c r="N70" s="136">
        <f t="shared" si="0"/>
        <v>0.06</v>
      </c>
      <c r="O70" s="137">
        <f t="shared" si="0"/>
        <v>0.06</v>
      </c>
    </row>
    <row r="71" spans="1:15" hidden="1" outlineLevel="1" x14ac:dyDescent="0.25">
      <c r="B71" s="71"/>
      <c r="C71" s="71"/>
      <c r="D71" s="71"/>
      <c r="E71" s="71"/>
      <c r="F71" s="123"/>
      <c r="G71" s="123"/>
      <c r="H71" s="123"/>
      <c r="I71" s="123"/>
      <c r="J71" s="123"/>
      <c r="K71" s="123"/>
      <c r="L71" s="123"/>
      <c r="M71" s="123"/>
      <c r="N71" s="123"/>
      <c r="O71" s="123"/>
    </row>
    <row r="72" spans="1:15" hidden="1" outlineLevel="1" x14ac:dyDescent="0.25">
      <c r="B72" s="104" t="s">
        <v>296</v>
      </c>
      <c r="C72" s="74"/>
      <c r="D72" s="74"/>
      <c r="E72" s="74"/>
      <c r="F72" s="124"/>
      <c r="G72" s="124"/>
      <c r="H72" s="124"/>
      <c r="I72" s="124"/>
      <c r="J72" s="124"/>
      <c r="K72" s="124"/>
      <c r="L72" s="124"/>
      <c r="M72" s="124"/>
      <c r="N72" s="124"/>
      <c r="O72" s="125"/>
    </row>
    <row r="73" spans="1:15" hidden="1" outlineLevel="1" x14ac:dyDescent="0.25">
      <c r="B73" s="138"/>
      <c r="C73" s="139" t="s">
        <v>293</v>
      </c>
      <c r="D73" s="139"/>
      <c r="E73" s="139"/>
      <c r="F73" s="140"/>
      <c r="G73" s="140"/>
      <c r="H73" s="140"/>
      <c r="I73" s="140"/>
      <c r="J73" s="140"/>
      <c r="K73" s="140">
        <v>4689.1899999999996</v>
      </c>
      <c r="L73" s="140"/>
      <c r="M73" s="140"/>
      <c r="N73" s="140"/>
      <c r="O73" s="133"/>
    </row>
    <row r="74" spans="1:15" hidden="1" outlineLevel="1" x14ac:dyDescent="0.25">
      <c r="B74" s="78"/>
      <c r="C74" s="79" t="s">
        <v>297</v>
      </c>
      <c r="D74" s="79"/>
      <c r="E74" s="79"/>
      <c r="F74" s="119"/>
      <c r="G74" s="119"/>
      <c r="H74" s="119"/>
      <c r="I74" s="119"/>
      <c r="J74" s="119"/>
      <c r="K74" s="119">
        <v>3481.33</v>
      </c>
      <c r="L74" s="119"/>
      <c r="M74" s="119"/>
      <c r="N74" s="119"/>
      <c r="O74" s="126"/>
    </row>
    <row r="75" spans="1:15" hidden="1" outlineLevel="1" x14ac:dyDescent="0.25">
      <c r="B75" s="85"/>
      <c r="C75" s="86" t="s">
        <v>298</v>
      </c>
      <c r="D75" s="86"/>
      <c r="E75" s="86"/>
      <c r="F75" s="129"/>
      <c r="G75" s="129"/>
      <c r="H75" s="129"/>
      <c r="I75" s="129"/>
      <c r="J75" s="129"/>
      <c r="K75" s="129">
        <v>3144</v>
      </c>
      <c r="L75" s="129"/>
      <c r="M75" s="129"/>
      <c r="N75" s="129"/>
      <c r="O75" s="130"/>
    </row>
    <row r="76" spans="1:15" hidden="1" outlineLevel="1" x14ac:dyDescent="0.25">
      <c r="B76" s="73"/>
      <c r="C76" s="141" t="s">
        <v>183</v>
      </c>
      <c r="D76" s="74"/>
      <c r="E76" s="74"/>
      <c r="F76" s="124"/>
      <c r="G76" s="124"/>
      <c r="H76" s="124"/>
      <c r="I76" s="124"/>
      <c r="J76" s="124"/>
      <c r="K76" s="124">
        <f>SUM(K73:K75)</f>
        <v>11314.52</v>
      </c>
      <c r="L76" s="124"/>
      <c r="M76" s="124"/>
      <c r="N76" s="124"/>
      <c r="O76" s="125"/>
    </row>
    <row r="77" spans="1:15" hidden="1" outlineLevel="1" x14ac:dyDescent="0.25"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</row>
    <row r="78" spans="1:15" collapsed="1" x14ac:dyDescent="0.25"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</row>
    <row r="79" spans="1:15" x14ac:dyDescent="0.25"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</row>
    <row r="80" spans="1:15" ht="25.5" x14ac:dyDescent="0.35">
      <c r="A80" s="142" t="s">
        <v>8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5"/>
    </row>
    <row r="81" spans="1:15" hidden="1" outlineLevel="1" x14ac:dyDescent="0.25">
      <c r="A81" s="143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</row>
    <row r="82" spans="1:15" hidden="1" outlineLevel="1" x14ac:dyDescent="0.25">
      <c r="A82" s="144" t="s">
        <v>28</v>
      </c>
      <c r="B82" s="86"/>
      <c r="C82" s="86"/>
      <c r="D82" s="86"/>
      <c r="E82" s="86"/>
      <c r="F82" s="145">
        <f>G82-1</f>
        <v>2021</v>
      </c>
      <c r="G82" s="145">
        <f>H82-1</f>
        <v>2022</v>
      </c>
      <c r="H82" s="145">
        <f>I82-1</f>
        <v>2023</v>
      </c>
      <c r="I82" s="145">
        <f>J82-1</f>
        <v>2024</v>
      </c>
      <c r="J82" s="145">
        <f>K82-1</f>
        <v>2025</v>
      </c>
      <c r="K82" s="146">
        <f>K5</f>
        <v>2026</v>
      </c>
      <c r="L82" s="146">
        <f>L5</f>
        <v>2027</v>
      </c>
      <c r="M82" s="146">
        <f>M5</f>
        <v>2028</v>
      </c>
      <c r="N82" s="146">
        <f>N5</f>
        <v>2029</v>
      </c>
      <c r="O82" s="146">
        <f>O5</f>
        <v>2030</v>
      </c>
    </row>
    <row r="83" spans="1:15" hidden="1" outlineLevel="1" x14ac:dyDescent="0.25">
      <c r="A83" s="143"/>
      <c r="B83" s="71"/>
      <c r="C83" s="71"/>
      <c r="D83" s="71"/>
      <c r="E83" s="71"/>
      <c r="F83" s="71"/>
      <c r="G83" s="71"/>
      <c r="H83" s="71"/>
      <c r="I83" s="71"/>
      <c r="J83" s="71"/>
      <c r="K83" s="147"/>
      <c r="L83" s="147"/>
      <c r="M83" s="147"/>
      <c r="N83" s="147"/>
      <c r="O83" s="147"/>
    </row>
    <row r="84" spans="1:15" hidden="1" outlineLevel="1" x14ac:dyDescent="0.25">
      <c r="A84" s="143"/>
      <c r="B84" s="71" t="s">
        <v>9</v>
      </c>
      <c r="C84" s="71"/>
      <c r="D84" s="71"/>
      <c r="E84" s="71"/>
      <c r="F84" s="123"/>
      <c r="G84" s="123"/>
      <c r="H84" s="123"/>
      <c r="I84" s="123"/>
      <c r="J84" s="123"/>
      <c r="K84" s="148"/>
      <c r="L84" s="148"/>
      <c r="M84" s="148"/>
      <c r="N84" s="148"/>
      <c r="O84" s="148"/>
    </row>
    <row r="85" spans="1:15" hidden="1" outlineLevel="1" x14ac:dyDescent="0.25">
      <c r="A85" s="143"/>
      <c r="B85" s="71"/>
      <c r="C85" s="71" t="s">
        <v>84</v>
      </c>
      <c r="D85" s="71"/>
      <c r="E85" s="71"/>
      <c r="F85" s="149">
        <v>89582.91</v>
      </c>
      <c r="G85" s="149">
        <v>133905.57999999999</v>
      </c>
      <c r="H85" s="149">
        <v>163210.63</v>
      </c>
      <c r="I85" s="149">
        <v>204813.28</v>
      </c>
      <c r="J85" s="149">
        <v>222255.84</v>
      </c>
      <c r="K85" s="148">
        <f>K87-K86</f>
        <v>268206.49571603548</v>
      </c>
      <c r="L85" s="148">
        <f>L87-L86</f>
        <v>306039.71474341949</v>
      </c>
      <c r="M85" s="148">
        <f>M87-M86</f>
        <v>347327.30527973198</v>
      </c>
      <c r="N85" s="148">
        <f>N87-N86</f>
        <v>391961.02933619218</v>
      </c>
      <c r="O85" s="148">
        <f>O87-O86</f>
        <v>438535.04171945713</v>
      </c>
    </row>
    <row r="86" spans="1:15" hidden="1" outlineLevel="1" x14ac:dyDescent="0.25">
      <c r="A86" s="150"/>
      <c r="B86" s="86"/>
      <c r="C86" s="86" t="s">
        <v>83</v>
      </c>
      <c r="D86" s="86"/>
      <c r="E86" s="86"/>
      <c r="F86" s="151">
        <v>-1350.61</v>
      </c>
      <c r="G86" s="151">
        <v>-2174.16</v>
      </c>
      <c r="H86" s="151">
        <v>-2784.82</v>
      </c>
      <c r="I86" s="151">
        <v>-4736.78</v>
      </c>
      <c r="J86" s="151">
        <v>-5402.05</v>
      </c>
      <c r="K86" s="152">
        <f>-K244</f>
        <v>-7586.3524350354501</v>
      </c>
      <c r="L86" s="152">
        <f>-L244</f>
        <v>-8942.4129327980354</v>
      </c>
      <c r="M86" s="152">
        <f>-M244</f>
        <v>-10449.209511974504</v>
      </c>
      <c r="N86" s="152">
        <f>-N244</f>
        <v>-12102.796917244468</v>
      </c>
      <c r="O86" s="152">
        <f>-O244</f>
        <v>-13894.010860996646</v>
      </c>
    </row>
    <row r="87" spans="1:15" hidden="1" outlineLevel="1" x14ac:dyDescent="0.25">
      <c r="A87" s="143"/>
      <c r="B87" s="72" t="s">
        <v>10</v>
      </c>
      <c r="C87" s="71"/>
      <c r="D87" s="71"/>
      <c r="E87" s="71"/>
      <c r="F87" s="123">
        <f>F85+F86</f>
        <v>88232.3</v>
      </c>
      <c r="G87" s="123">
        <f>G85+G86</f>
        <v>131731.41999999998</v>
      </c>
      <c r="H87" s="123">
        <f>H85+H86</f>
        <v>160425.81</v>
      </c>
      <c r="I87" s="123">
        <f>I85+I86</f>
        <v>200076.5</v>
      </c>
      <c r="J87" s="123">
        <f>J85+J86</f>
        <v>216853.79</v>
      </c>
      <c r="K87" s="148">
        <f>K242</f>
        <v>260620.14328100003</v>
      </c>
      <c r="L87" s="148">
        <f>L242</f>
        <v>297097.30181062146</v>
      </c>
      <c r="M87" s="148">
        <f>M242</f>
        <v>336878.09576775751</v>
      </c>
      <c r="N87" s="148">
        <f>N242</f>
        <v>379858.23241894774</v>
      </c>
      <c r="O87" s="148">
        <f>O242</f>
        <v>424641.03085846046</v>
      </c>
    </row>
    <row r="88" spans="1:15" hidden="1" outlineLevel="1" x14ac:dyDescent="0.25">
      <c r="A88" s="143"/>
      <c r="B88" s="71"/>
      <c r="C88" s="71" t="s">
        <v>82</v>
      </c>
      <c r="D88" s="71"/>
      <c r="E88" s="71"/>
      <c r="F88" s="149">
        <v>679.25</v>
      </c>
      <c r="G88" s="149">
        <v>388.49</v>
      </c>
      <c r="H88" s="149">
        <v>793.59</v>
      </c>
      <c r="I88" s="149">
        <v>1212.68</v>
      </c>
      <c r="J88" s="149">
        <v>3523.48</v>
      </c>
      <c r="K88" s="153">
        <f ca="1">K424</f>
        <v>756.83034604269392</v>
      </c>
      <c r="L88" s="153">
        <f ca="1">L424</f>
        <v>918.22099874906621</v>
      </c>
      <c r="M88" s="153">
        <f ca="1">M424</f>
        <v>2300.5223898791469</v>
      </c>
      <c r="N88" s="153">
        <f ca="1">N424</f>
        <v>4041.0744020751663</v>
      </c>
      <c r="O88" s="153">
        <f ca="1">O424</f>
        <v>6174.8102793130438</v>
      </c>
    </row>
    <row r="89" spans="1:15" hidden="1" outlineLevel="1" x14ac:dyDescent="0.25">
      <c r="A89" s="143"/>
      <c r="B89" s="71"/>
      <c r="C89" s="71"/>
      <c r="D89" s="71"/>
      <c r="E89" s="71"/>
      <c r="F89" s="123"/>
      <c r="G89" s="123"/>
      <c r="H89" s="123"/>
      <c r="I89" s="123"/>
      <c r="J89" s="123"/>
      <c r="K89" s="148"/>
      <c r="L89" s="148"/>
      <c r="M89" s="148"/>
      <c r="N89" s="148"/>
      <c r="O89" s="148"/>
    </row>
    <row r="90" spans="1:15" hidden="1" outlineLevel="1" x14ac:dyDescent="0.25">
      <c r="A90" s="143"/>
      <c r="B90" s="71" t="s">
        <v>11</v>
      </c>
      <c r="C90" s="71"/>
      <c r="D90" s="71"/>
      <c r="E90" s="71"/>
      <c r="F90" s="123"/>
      <c r="G90" s="123"/>
      <c r="H90" s="123"/>
      <c r="I90" s="123"/>
      <c r="J90" s="123"/>
      <c r="K90" s="148"/>
      <c r="L90" s="148"/>
      <c r="M90" s="148"/>
      <c r="N90" s="148"/>
      <c r="O90" s="148"/>
    </row>
    <row r="91" spans="1:15" hidden="1" outlineLevel="1" x14ac:dyDescent="0.25">
      <c r="A91" s="143"/>
      <c r="B91" s="71"/>
      <c r="C91" s="71" t="s">
        <v>85</v>
      </c>
      <c r="D91" s="71"/>
      <c r="E91" s="71"/>
      <c r="F91" s="149">
        <v>39689.129999999997</v>
      </c>
      <c r="G91" s="149">
        <v>64170.92</v>
      </c>
      <c r="H91" s="149">
        <v>70264.61</v>
      </c>
      <c r="I91" s="149">
        <v>82937.429999999993</v>
      </c>
      <c r="J91" s="149">
        <v>93370.62</v>
      </c>
      <c r="K91" s="148">
        <f>K87*K46</f>
        <v>115717.74933852088</v>
      </c>
      <c r="L91" s="148">
        <f>L87*L46</f>
        <v>131913.94443753551</v>
      </c>
      <c r="M91" s="148">
        <f>M87*M46</f>
        <v>149576.98416142937</v>
      </c>
      <c r="N91" s="148">
        <f>N87*N46</f>
        <v>168660.56157384496</v>
      </c>
      <c r="O91" s="148">
        <f>O87*O46</f>
        <v>188544.53746021242</v>
      </c>
    </row>
    <row r="92" spans="1:15" hidden="1" outlineLevel="1" x14ac:dyDescent="0.25">
      <c r="A92" s="143"/>
      <c r="B92" s="71"/>
      <c r="C92" s="71" t="s">
        <v>86</v>
      </c>
      <c r="D92" s="71"/>
      <c r="E92" s="71"/>
      <c r="F92" s="149">
        <v>1654.69</v>
      </c>
      <c r="G92" s="149">
        <v>1885.71</v>
      </c>
      <c r="H92" s="149">
        <v>4626.96</v>
      </c>
      <c r="I92" s="149">
        <v>6859.21</v>
      </c>
      <c r="J92" s="149">
        <v>3694.53</v>
      </c>
      <c r="K92" s="148">
        <f>K274</f>
        <v>5902.0163124300725</v>
      </c>
      <c r="L92" s="148">
        <f>L274</f>
        <v>6728.0798007031162</v>
      </c>
      <c r="M92" s="148">
        <f>M274</f>
        <v>7628.9575759228546</v>
      </c>
      <c r="N92" s="148">
        <f>N274</f>
        <v>8602.2878198261151</v>
      </c>
      <c r="O92" s="148">
        <f>O274</f>
        <v>9616.4412293777896</v>
      </c>
    </row>
    <row r="93" spans="1:15" hidden="1" outlineLevel="1" x14ac:dyDescent="0.25">
      <c r="A93" s="143"/>
      <c r="B93" s="71"/>
      <c r="C93" s="71" t="s">
        <v>87</v>
      </c>
      <c r="D93" s="71"/>
      <c r="E93" s="71"/>
      <c r="F93" s="149">
        <v>-997.22</v>
      </c>
      <c r="G93" s="149">
        <v>-3445.07</v>
      </c>
      <c r="H93" s="149">
        <v>-842.69</v>
      </c>
      <c r="I93" s="149">
        <v>-749.4</v>
      </c>
      <c r="J93" s="149">
        <v>89.14</v>
      </c>
      <c r="K93" s="148">
        <v>0</v>
      </c>
      <c r="L93" s="148">
        <v>0</v>
      </c>
      <c r="M93" s="148">
        <v>0</v>
      </c>
      <c r="N93" s="148">
        <v>0</v>
      </c>
      <c r="O93" s="148">
        <v>0</v>
      </c>
    </row>
    <row r="94" spans="1:15" hidden="1" outlineLevel="1" x14ac:dyDescent="0.25">
      <c r="A94" s="143"/>
      <c r="B94" s="71"/>
      <c r="C94" s="71" t="s">
        <v>88</v>
      </c>
      <c r="D94" s="71"/>
      <c r="E94" s="71"/>
      <c r="F94" s="149">
        <v>10076.99</v>
      </c>
      <c r="G94" s="149">
        <v>12166.42</v>
      </c>
      <c r="H94" s="149">
        <v>14465.87</v>
      </c>
      <c r="I94" s="149">
        <v>18850.259999999998</v>
      </c>
      <c r="J94" s="149">
        <v>22007.43</v>
      </c>
      <c r="K94" s="148">
        <f>K269</f>
        <v>25667.936469337052</v>
      </c>
      <c r="L94" s="148">
        <f>L269</f>
        <v>29260.496031054237</v>
      </c>
      <c r="M94" s="148">
        <f>M269</f>
        <v>33178.423782673257</v>
      </c>
      <c r="N94" s="148">
        <f>N269</f>
        <v>37411.448149545373</v>
      </c>
      <c r="O94" s="148">
        <f>O269</f>
        <v>41822.012930891426</v>
      </c>
    </row>
    <row r="95" spans="1:15" hidden="1" outlineLevel="1" x14ac:dyDescent="0.25">
      <c r="A95" s="143"/>
      <c r="B95" s="71"/>
      <c r="C95" s="71" t="s">
        <v>89</v>
      </c>
      <c r="D95" s="71"/>
      <c r="E95" s="71"/>
      <c r="F95" s="149">
        <v>1847</v>
      </c>
      <c r="G95" s="149">
        <v>1861.22</v>
      </c>
      <c r="H95" s="149">
        <v>2680.99</v>
      </c>
      <c r="I95" s="149">
        <v>4503.8599999999997</v>
      </c>
      <c r="J95" s="149">
        <v>1695.79</v>
      </c>
      <c r="K95" s="153">
        <f ca="1">K451</f>
        <v>1538.5461177587867</v>
      </c>
      <c r="L95" s="153">
        <f ca="1">L451</f>
        <v>760.40855645025977</v>
      </c>
      <c r="M95" s="153">
        <f ca="1">M451</f>
        <v>654.47932360471532</v>
      </c>
      <c r="N95" s="153">
        <f ca="1">N451</f>
        <v>571.32916177448635</v>
      </c>
      <c r="O95" s="153">
        <f ca="1">O451</f>
        <v>530.7315392896918</v>
      </c>
    </row>
    <row r="96" spans="1:15" hidden="1" outlineLevel="1" x14ac:dyDescent="0.25">
      <c r="A96" s="143"/>
      <c r="B96" s="71"/>
      <c r="C96" s="71" t="s">
        <v>311</v>
      </c>
      <c r="D96" s="71"/>
      <c r="E96" s="71"/>
      <c r="F96" s="149">
        <v>5312.62</v>
      </c>
      <c r="G96" s="149">
        <v>6171.89</v>
      </c>
      <c r="H96" s="149">
        <v>6809.06</v>
      </c>
      <c r="I96" s="149">
        <v>9473.86</v>
      </c>
      <c r="J96" s="149">
        <v>12164.63</v>
      </c>
      <c r="K96" s="148">
        <f>K495</f>
        <v>14704.662885656167</v>
      </c>
      <c r="L96" s="148">
        <f>L495</f>
        <v>15918.178035509047</v>
      </c>
      <c r="M96" s="148">
        <f>M495</f>
        <v>16898.660334740984</v>
      </c>
      <c r="N96" s="148">
        <f>N495</f>
        <v>17977.560036658579</v>
      </c>
      <c r="O96" s="148">
        <f>O495</f>
        <v>19148.929745904767</v>
      </c>
    </row>
    <row r="97" spans="1:15" hidden="1" outlineLevel="1" x14ac:dyDescent="0.25">
      <c r="A97" s="150"/>
      <c r="B97" s="86"/>
      <c r="C97" s="86" t="s">
        <v>90</v>
      </c>
      <c r="D97" s="86"/>
      <c r="E97" s="86"/>
      <c r="F97" s="151">
        <v>21262.26</v>
      </c>
      <c r="G97" s="151">
        <v>29072.39</v>
      </c>
      <c r="H97" s="151">
        <v>35816.21</v>
      </c>
      <c r="I97" s="151">
        <v>45068.29</v>
      </c>
      <c r="J97" s="151">
        <v>47198.38</v>
      </c>
      <c r="K97" s="152">
        <f>K264</f>
        <v>58787.461866110381</v>
      </c>
      <c r="L97" s="152">
        <f>L264</f>
        <v>67015.52719923429</v>
      </c>
      <c r="M97" s="152">
        <f>M264</f>
        <v>75988.785667737407</v>
      </c>
      <c r="N97" s="152">
        <f>N264</f>
        <v>85683.712209381527</v>
      </c>
      <c r="O97" s="152">
        <f>O264</f>
        <v>95785.260855535191</v>
      </c>
    </row>
    <row r="98" spans="1:15" hidden="1" outlineLevel="1" x14ac:dyDescent="0.25">
      <c r="A98" s="143"/>
      <c r="B98" s="72" t="s">
        <v>12</v>
      </c>
      <c r="C98" s="71"/>
      <c r="D98" s="71"/>
      <c r="E98" s="71"/>
      <c r="F98" s="123">
        <f t="shared" ref="F98:O98" si="1">SUM(F91:F97)</f>
        <v>78845.47</v>
      </c>
      <c r="G98" s="123">
        <f t="shared" si="1"/>
        <v>111883.48000000001</v>
      </c>
      <c r="H98" s="123">
        <f t="shared" si="1"/>
        <v>133821.01</v>
      </c>
      <c r="I98" s="123">
        <f t="shared" si="1"/>
        <v>166943.51</v>
      </c>
      <c r="J98" s="123">
        <f t="shared" si="1"/>
        <v>180220.52</v>
      </c>
      <c r="K98" s="148">
        <f t="shared" ca="1" si="1"/>
        <v>222318.37298981336</v>
      </c>
      <c r="L98" s="148">
        <f t="shared" ca="1" si="1"/>
        <v>251596.63406048645</v>
      </c>
      <c r="M98" s="148">
        <f t="shared" ca="1" si="1"/>
        <v>283926.29084610863</v>
      </c>
      <c r="N98" s="148">
        <f t="shared" ca="1" si="1"/>
        <v>318906.89895103103</v>
      </c>
      <c r="O98" s="148">
        <f t="shared" ca="1" si="1"/>
        <v>355447.91376121133</v>
      </c>
    </row>
    <row r="99" spans="1:15" hidden="1" outlineLevel="1" x14ac:dyDescent="0.25">
      <c r="A99" s="143"/>
      <c r="B99" s="71"/>
      <c r="C99" s="71"/>
      <c r="D99" s="71"/>
      <c r="E99" s="71"/>
      <c r="F99" s="123"/>
      <c r="G99" s="123"/>
      <c r="H99" s="123"/>
      <c r="I99" s="123"/>
      <c r="J99" s="123"/>
      <c r="K99" s="148"/>
      <c r="L99" s="148"/>
      <c r="M99" s="148"/>
      <c r="N99" s="148"/>
      <c r="O99" s="148"/>
    </row>
    <row r="100" spans="1:15" hidden="1" outlineLevel="1" x14ac:dyDescent="0.25">
      <c r="A100" s="154"/>
      <c r="B100" s="155" t="s">
        <v>13</v>
      </c>
      <c r="C100" s="74"/>
      <c r="D100" s="74"/>
      <c r="E100" s="74"/>
      <c r="F100" s="124">
        <f t="shared" ref="F100:O100" si="2">F87-F98+F96+F95</f>
        <v>16546.45</v>
      </c>
      <c r="G100" s="124">
        <f t="shared" si="2"/>
        <v>27881.049999999974</v>
      </c>
      <c r="H100" s="124">
        <f t="shared" si="2"/>
        <v>36094.849999999984</v>
      </c>
      <c r="I100" s="124">
        <f t="shared" si="2"/>
        <v>47110.709999999992</v>
      </c>
      <c r="J100" s="124">
        <f t="shared" si="2"/>
        <v>50493.690000000017</v>
      </c>
      <c r="K100" s="156">
        <f t="shared" ca="1" si="2"/>
        <v>54544.979294601617</v>
      </c>
      <c r="L100" s="156">
        <f t="shared" ca="1" si="2"/>
        <v>62179.254342094311</v>
      </c>
      <c r="M100" s="156">
        <f t="shared" ca="1" si="2"/>
        <v>70504.944579994568</v>
      </c>
      <c r="N100" s="156">
        <f t="shared" ca="1" si="2"/>
        <v>79500.222666349757</v>
      </c>
      <c r="O100" s="156">
        <f t="shared" ca="1" si="2"/>
        <v>88872.77838244359</v>
      </c>
    </row>
    <row r="101" spans="1:15" hidden="1" outlineLevel="1" x14ac:dyDescent="0.25">
      <c r="A101" s="143"/>
      <c r="B101" s="71"/>
      <c r="C101" s="71"/>
      <c r="D101" s="71"/>
      <c r="E101" s="71"/>
      <c r="F101" s="123"/>
      <c r="G101" s="123"/>
      <c r="H101" s="123"/>
      <c r="I101" s="123"/>
      <c r="J101" s="123"/>
      <c r="K101" s="148"/>
      <c r="L101" s="148"/>
      <c r="M101" s="148"/>
      <c r="N101" s="148"/>
      <c r="O101" s="148"/>
    </row>
    <row r="102" spans="1:15" hidden="1" outlineLevel="1" x14ac:dyDescent="0.25">
      <c r="A102" s="143"/>
      <c r="B102" s="71" t="s">
        <v>14</v>
      </c>
      <c r="C102" s="71"/>
      <c r="D102" s="71"/>
      <c r="E102" s="71"/>
      <c r="F102" s="123">
        <f t="shared" ref="F102:O102" si="3">F87+F88-F98</f>
        <v>10066.080000000002</v>
      </c>
      <c r="G102" s="123">
        <f t="shared" si="3"/>
        <v>20236.429999999964</v>
      </c>
      <c r="H102" s="123">
        <f t="shared" si="3"/>
        <v>27398.389999999985</v>
      </c>
      <c r="I102" s="123">
        <f t="shared" si="3"/>
        <v>34345.669999999984</v>
      </c>
      <c r="J102" s="123">
        <f t="shared" si="3"/>
        <v>40156.750000000029</v>
      </c>
      <c r="K102" s="148">
        <f t="shared" ca="1" si="3"/>
        <v>39058.600637229363</v>
      </c>
      <c r="L102" s="148">
        <f t="shared" ca="1" si="3"/>
        <v>46418.888748884085</v>
      </c>
      <c r="M102" s="148">
        <f t="shared" ca="1" si="3"/>
        <v>55252.327311528032</v>
      </c>
      <c r="N102" s="148">
        <f t="shared" ca="1" si="3"/>
        <v>64992.407869991846</v>
      </c>
      <c r="O102" s="148">
        <f t="shared" ca="1" si="3"/>
        <v>75367.927376562206</v>
      </c>
    </row>
    <row r="103" spans="1:15" hidden="1" outlineLevel="1" x14ac:dyDescent="0.25">
      <c r="A103" s="150"/>
      <c r="B103" s="86" t="s">
        <v>15</v>
      </c>
      <c r="C103" s="86"/>
      <c r="D103" s="86"/>
      <c r="E103" s="86"/>
      <c r="F103" s="151">
        <v>0</v>
      </c>
      <c r="G103" s="151">
        <v>-0.06</v>
      </c>
      <c r="H103" s="151">
        <v>-4.79</v>
      </c>
      <c r="I103" s="151">
        <v>-14.78</v>
      </c>
      <c r="J103" s="151">
        <v>-60.27</v>
      </c>
      <c r="K103" s="152">
        <v>0</v>
      </c>
      <c r="L103" s="152">
        <v>0</v>
      </c>
      <c r="M103" s="152">
        <v>0</v>
      </c>
      <c r="N103" s="152">
        <v>0</v>
      </c>
      <c r="O103" s="152">
        <v>0</v>
      </c>
    </row>
    <row r="104" spans="1:15" hidden="1" outlineLevel="1" x14ac:dyDescent="0.25">
      <c r="A104" s="143"/>
      <c r="B104" s="72" t="s">
        <v>16</v>
      </c>
      <c r="C104" s="71"/>
      <c r="D104" s="71"/>
      <c r="E104" s="71"/>
      <c r="F104" s="123">
        <f>F102+F103</f>
        <v>10066.080000000002</v>
      </c>
      <c r="G104" s="123">
        <f t="shared" ref="G104:O104" si="4">G102+G103</f>
        <v>20236.369999999963</v>
      </c>
      <c r="H104" s="123">
        <f t="shared" si="4"/>
        <v>27393.599999999984</v>
      </c>
      <c r="I104" s="123">
        <f t="shared" si="4"/>
        <v>34330.889999999985</v>
      </c>
      <c r="J104" s="123">
        <f t="shared" si="4"/>
        <v>40096.480000000032</v>
      </c>
      <c r="K104" s="148">
        <f t="shared" ca="1" si="4"/>
        <v>39058.600637229363</v>
      </c>
      <c r="L104" s="148">
        <f t="shared" ca="1" si="4"/>
        <v>46418.888748884085</v>
      </c>
      <c r="M104" s="148">
        <f t="shared" ca="1" si="4"/>
        <v>55252.327311528032</v>
      </c>
      <c r="N104" s="148">
        <f t="shared" ca="1" si="4"/>
        <v>64992.407869991846</v>
      </c>
      <c r="O104" s="148">
        <f t="shared" ca="1" si="4"/>
        <v>75367.927376562206</v>
      </c>
    </row>
    <row r="105" spans="1:15" hidden="1" outlineLevel="1" x14ac:dyDescent="0.25">
      <c r="A105" s="150"/>
      <c r="B105" s="86" t="s">
        <v>17</v>
      </c>
      <c r="C105" s="86"/>
      <c r="D105" s="86"/>
      <c r="E105" s="86"/>
      <c r="F105" s="151">
        <v>-2605.56</v>
      </c>
      <c r="G105" s="151">
        <v>-4735.2299999999996</v>
      </c>
      <c r="H105" s="151">
        <v>-6375.47</v>
      </c>
      <c r="I105" s="151">
        <v>-7988.04</v>
      </c>
      <c r="J105" s="149">
        <v>-9476.06</v>
      </c>
      <c r="K105" s="152">
        <f ca="1">-K519</f>
        <v>-9136.3943224734412</v>
      </c>
      <c r="L105" s="152">
        <f ca="1">-L519</f>
        <v>-10858.07644671713</v>
      </c>
      <c r="M105" s="152">
        <f ca="1">-M519</f>
        <v>-12924.350624874247</v>
      </c>
      <c r="N105" s="152">
        <f ca="1">-N519</f>
        <v>-15202.702006207688</v>
      </c>
      <c r="O105" s="152">
        <f ca="1">-O519</f>
        <v>-17629.69211762982</v>
      </c>
    </row>
    <row r="106" spans="1:15" hidden="1" outlineLevel="1" x14ac:dyDescent="0.25">
      <c r="A106" s="143"/>
      <c r="B106" s="72" t="s">
        <v>18</v>
      </c>
      <c r="C106" s="71"/>
      <c r="D106" s="71"/>
      <c r="E106" s="71"/>
      <c r="F106" s="123">
        <f>F104+F105</f>
        <v>7460.5200000000023</v>
      </c>
      <c r="G106" s="123">
        <f t="shared" ref="G106:O106" si="5">G104+G105</f>
        <v>15501.139999999963</v>
      </c>
      <c r="H106" s="123">
        <f t="shared" si="5"/>
        <v>21018.129999999983</v>
      </c>
      <c r="I106" s="123">
        <f t="shared" si="5"/>
        <v>26342.849999999984</v>
      </c>
      <c r="J106" s="140">
        <f t="shared" si="5"/>
        <v>30620.420000000035</v>
      </c>
      <c r="K106" s="157">
        <f t="shared" ca="1" si="5"/>
        <v>29922.206314755924</v>
      </c>
      <c r="L106" s="157">
        <f t="shared" ca="1" si="5"/>
        <v>35560.812302166953</v>
      </c>
      <c r="M106" s="157">
        <f t="shared" ca="1" si="5"/>
        <v>42327.976686653783</v>
      </c>
      <c r="N106" s="157">
        <f t="shared" ca="1" si="5"/>
        <v>49789.705863784155</v>
      </c>
      <c r="O106" s="157">
        <f t="shared" ca="1" si="5"/>
        <v>57738.235258932385</v>
      </c>
    </row>
    <row r="107" spans="1:15" hidden="1" outlineLevel="1" x14ac:dyDescent="0.25">
      <c r="A107" s="150"/>
      <c r="B107" s="86" t="s">
        <v>19</v>
      </c>
      <c r="C107" s="86"/>
      <c r="D107" s="86"/>
      <c r="E107" s="86"/>
      <c r="F107" s="151">
        <v>-520</v>
      </c>
      <c r="G107" s="151">
        <v>-553.80999999999995</v>
      </c>
      <c r="H107" s="151">
        <v>-458.91</v>
      </c>
      <c r="I107" s="151">
        <v>-396.52</v>
      </c>
      <c r="J107" s="149">
        <v>-255.53</v>
      </c>
      <c r="K107" s="152"/>
      <c r="L107" s="152"/>
      <c r="M107" s="152"/>
      <c r="N107" s="152"/>
      <c r="O107" s="152"/>
    </row>
    <row r="108" spans="1:15" hidden="1" outlineLevel="1" x14ac:dyDescent="0.25">
      <c r="A108" s="143"/>
      <c r="B108" s="72" t="s">
        <v>20</v>
      </c>
      <c r="C108" s="71"/>
      <c r="D108" s="71"/>
      <c r="E108" s="71"/>
      <c r="F108" s="123">
        <f>F106+F107</f>
        <v>6940.5200000000023</v>
      </c>
      <c r="G108" s="123">
        <f t="shared" ref="G108:O108" si="6">G106+G107</f>
        <v>14947.329999999964</v>
      </c>
      <c r="H108" s="123">
        <f t="shared" si="6"/>
        <v>20559.219999999983</v>
      </c>
      <c r="I108" s="123">
        <f t="shared" si="6"/>
        <v>25946.329999999984</v>
      </c>
      <c r="J108" s="140">
        <f t="shared" si="6"/>
        <v>30364.890000000036</v>
      </c>
      <c r="K108" s="157">
        <f t="shared" ca="1" si="6"/>
        <v>29922.206314755924</v>
      </c>
      <c r="L108" s="157">
        <f t="shared" ca="1" si="6"/>
        <v>35560.812302166953</v>
      </c>
      <c r="M108" s="157">
        <f t="shared" ca="1" si="6"/>
        <v>42327.976686653783</v>
      </c>
      <c r="N108" s="157">
        <f t="shared" ca="1" si="6"/>
        <v>49789.705863784155</v>
      </c>
      <c r="O108" s="157">
        <f t="shared" ca="1" si="6"/>
        <v>57738.235258932385</v>
      </c>
    </row>
    <row r="109" spans="1:15" hidden="1" outlineLevel="1" x14ac:dyDescent="0.25">
      <c r="A109" s="143"/>
      <c r="B109" s="71"/>
      <c r="C109" s="71"/>
      <c r="D109" s="71"/>
      <c r="E109" s="71"/>
      <c r="F109" s="123"/>
      <c r="G109" s="123"/>
      <c r="H109" s="123"/>
      <c r="I109" s="123"/>
      <c r="J109" s="123"/>
      <c r="K109" s="148"/>
      <c r="L109" s="148"/>
      <c r="M109" s="148"/>
      <c r="N109" s="148"/>
      <c r="O109" s="148"/>
    </row>
    <row r="110" spans="1:15" hidden="1" outlineLevel="1" x14ac:dyDescent="0.25">
      <c r="A110" s="143"/>
      <c r="B110" s="71"/>
      <c r="C110" s="71"/>
      <c r="D110" s="71"/>
      <c r="E110" s="71"/>
      <c r="F110" s="123"/>
      <c r="G110" s="123"/>
      <c r="H110" s="123"/>
      <c r="I110" s="123"/>
      <c r="J110" s="123"/>
      <c r="K110" s="148"/>
      <c r="L110" s="148"/>
      <c r="M110" s="148"/>
      <c r="N110" s="148"/>
      <c r="O110" s="148"/>
    </row>
    <row r="111" spans="1:15" hidden="1" outlineLevel="1" x14ac:dyDescent="0.25">
      <c r="A111" s="143"/>
      <c r="B111" s="71" t="s">
        <v>21</v>
      </c>
      <c r="C111" s="71"/>
      <c r="D111" s="71" t="s">
        <v>22</v>
      </c>
      <c r="E111" s="71"/>
      <c r="F111" s="158">
        <v>3246825</v>
      </c>
      <c r="G111" s="158">
        <v>3246825</v>
      </c>
      <c r="H111" s="158">
        <v>3246875</v>
      </c>
      <c r="I111" s="158">
        <v>3278350</v>
      </c>
      <c r="J111" s="158">
        <v>3381750</v>
      </c>
      <c r="K111" s="159">
        <f>K540</f>
        <v>3381750</v>
      </c>
      <c r="L111" s="159">
        <f>L540</f>
        <v>3381750</v>
      </c>
      <c r="M111" s="159">
        <f>M540</f>
        <v>3381750</v>
      </c>
      <c r="N111" s="159">
        <f>N540</f>
        <v>3381750</v>
      </c>
      <c r="O111" s="159">
        <f>O540</f>
        <v>3381750</v>
      </c>
    </row>
    <row r="112" spans="1:15" hidden="1" outlineLevel="1" x14ac:dyDescent="0.25">
      <c r="A112" s="143"/>
      <c r="B112" s="71" t="s">
        <v>23</v>
      </c>
      <c r="C112" s="71"/>
      <c r="D112" s="71" t="s">
        <v>22</v>
      </c>
      <c r="E112" s="71"/>
      <c r="F112" s="158">
        <v>3248500</v>
      </c>
      <c r="G112" s="158">
        <v>3248750</v>
      </c>
      <c r="H112" s="158">
        <v>3248928</v>
      </c>
      <c r="I112" s="158">
        <v>3280500</v>
      </c>
      <c r="J112" s="158">
        <v>3383500</v>
      </c>
      <c r="K112" s="159">
        <f>K543</f>
        <v>3383500</v>
      </c>
      <c r="L112" s="159">
        <f>L543</f>
        <v>3383500</v>
      </c>
      <c r="M112" s="159">
        <f>M543</f>
        <v>3383500</v>
      </c>
      <c r="N112" s="159">
        <f>N543</f>
        <v>3383500</v>
      </c>
      <c r="O112" s="159">
        <f>O543</f>
        <v>3383500</v>
      </c>
    </row>
    <row r="113" spans="1:15" hidden="1" outlineLevel="1" x14ac:dyDescent="0.25">
      <c r="A113" s="143"/>
      <c r="B113" s="72" t="s">
        <v>24</v>
      </c>
      <c r="C113" s="71"/>
      <c r="D113" s="71"/>
      <c r="E113" s="71"/>
      <c r="F113" s="123"/>
      <c r="G113" s="123"/>
      <c r="H113" s="123"/>
      <c r="I113" s="123"/>
      <c r="J113" s="123"/>
      <c r="K113" s="148"/>
      <c r="L113" s="148"/>
      <c r="M113" s="148"/>
      <c r="N113" s="148"/>
      <c r="O113" s="148"/>
    </row>
    <row r="114" spans="1:15" hidden="1" outlineLevel="1" x14ac:dyDescent="0.25">
      <c r="A114" s="143"/>
      <c r="B114" s="71" t="s">
        <v>25</v>
      </c>
      <c r="C114" s="71"/>
      <c r="D114" s="71" t="s">
        <v>27</v>
      </c>
      <c r="E114" s="71"/>
      <c r="F114" s="123">
        <f t="shared" ref="F114:J115" si="7">(F$108/F111)*1000</f>
        <v>2.137632918312506</v>
      </c>
      <c r="G114" s="123">
        <f t="shared" si="7"/>
        <v>4.6036758987626261</v>
      </c>
      <c r="H114" s="123">
        <f t="shared" si="7"/>
        <v>6.3320023099133733</v>
      </c>
      <c r="I114" s="123">
        <f t="shared" si="7"/>
        <v>7.9144478167370735</v>
      </c>
      <c r="J114" s="123">
        <f t="shared" si="7"/>
        <v>8.9790463517409727</v>
      </c>
      <c r="K114" s="148">
        <f ca="1">(K$108/K111)*1000</f>
        <v>8.8481426228301689</v>
      </c>
      <c r="L114" s="148">
        <f t="shared" ref="L114:O115" ca="1" si="8">(L$108/L111)*1000</f>
        <v>10.515505966486865</v>
      </c>
      <c r="M114" s="148">
        <f t="shared" ca="1" si="8"/>
        <v>12.51658954288572</v>
      </c>
      <c r="N114" s="148">
        <f t="shared" ca="1" si="8"/>
        <v>14.723059322476278</v>
      </c>
      <c r="O114" s="148">
        <f t="shared" ca="1" si="8"/>
        <v>17.073478305295303</v>
      </c>
    </row>
    <row r="115" spans="1:15" hidden="1" outlineLevel="1" x14ac:dyDescent="0.25">
      <c r="A115" s="143"/>
      <c r="B115" s="71" t="s">
        <v>26</v>
      </c>
      <c r="C115" s="71"/>
      <c r="D115" s="71" t="s">
        <v>27</v>
      </c>
      <c r="E115" s="71"/>
      <c r="F115" s="123">
        <f t="shared" si="7"/>
        <v>2.1365307064799146</v>
      </c>
      <c r="G115" s="123">
        <f t="shared" si="7"/>
        <v>4.6009480569449677</v>
      </c>
      <c r="H115" s="123">
        <f t="shared" si="7"/>
        <v>6.3280011129824922</v>
      </c>
      <c r="I115" s="123">
        <f t="shared" si="7"/>
        <v>7.9092607834171567</v>
      </c>
      <c r="J115" s="123">
        <f t="shared" si="7"/>
        <v>8.9744022461947797</v>
      </c>
      <c r="K115" s="148">
        <f ca="1">(K$108/K112)*1000</f>
        <v>8.8435662227740277</v>
      </c>
      <c r="L115" s="148">
        <f t="shared" ca="1" si="8"/>
        <v>10.510067179597149</v>
      </c>
      <c r="M115" s="148">
        <f t="shared" ca="1" si="8"/>
        <v>12.510115763751672</v>
      </c>
      <c r="N115" s="148">
        <f t="shared" ca="1" si="8"/>
        <v>14.715444322087825</v>
      </c>
      <c r="O115" s="148">
        <f t="shared" ca="1" si="8"/>
        <v>17.064647630835641</v>
      </c>
    </row>
    <row r="116" spans="1:15" hidden="1" outlineLevel="1" x14ac:dyDescent="0.25">
      <c r="A116" s="143"/>
      <c r="B116" s="71"/>
      <c r="C116" s="71"/>
      <c r="D116" s="71"/>
      <c r="E116" s="71"/>
      <c r="F116" s="123"/>
      <c r="G116" s="123"/>
      <c r="H116" s="123"/>
      <c r="I116" s="123"/>
      <c r="J116" s="123"/>
      <c r="K116" s="148"/>
      <c r="L116" s="148"/>
      <c r="M116" s="148"/>
      <c r="N116" s="148"/>
      <c r="O116" s="148"/>
    </row>
    <row r="117" spans="1:15" hidden="1" outlineLevel="1" x14ac:dyDescent="0.25">
      <c r="A117" s="143"/>
      <c r="B117" s="71"/>
      <c r="C117" s="71"/>
      <c r="D117" s="71"/>
      <c r="E117" s="71"/>
      <c r="F117" s="123"/>
      <c r="G117" s="123"/>
      <c r="H117" s="123"/>
      <c r="I117" s="123"/>
      <c r="J117" s="123"/>
      <c r="K117" s="160"/>
      <c r="L117" s="160"/>
      <c r="M117" s="160"/>
      <c r="N117" s="160"/>
      <c r="O117" s="160"/>
    </row>
    <row r="118" spans="1:15" collapsed="1" x14ac:dyDescent="0.25">
      <c r="B118" s="56"/>
      <c r="C118" s="56"/>
      <c r="D118" s="56"/>
      <c r="E118" s="56"/>
      <c r="F118" s="63"/>
      <c r="G118" s="63"/>
      <c r="H118" s="63"/>
      <c r="I118" s="63"/>
      <c r="J118" s="63"/>
      <c r="K118" s="66"/>
      <c r="L118" s="66"/>
      <c r="M118" s="66"/>
      <c r="N118" s="66"/>
      <c r="O118" s="66"/>
    </row>
    <row r="119" spans="1:15" ht="25.5" x14ac:dyDescent="0.35">
      <c r="A119" s="142" t="s">
        <v>29</v>
      </c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5"/>
    </row>
    <row r="120" spans="1:15" hidden="1" outlineLevel="1" x14ac:dyDescent="0.25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</row>
    <row r="121" spans="1:15" hidden="1" outlineLevel="1" x14ac:dyDescent="0.25">
      <c r="A121" s="144" t="s">
        <v>30</v>
      </c>
      <c r="B121" s="86"/>
      <c r="C121" s="86"/>
      <c r="D121" s="86"/>
      <c r="E121" s="86"/>
      <c r="F121" s="145">
        <f>G121-1</f>
        <v>2021</v>
      </c>
      <c r="G121" s="145">
        <f>H121-1</f>
        <v>2022</v>
      </c>
      <c r="H121" s="145">
        <f>I121-1</f>
        <v>2023</v>
      </c>
      <c r="I121" s="145">
        <f>J121-1</f>
        <v>2024</v>
      </c>
      <c r="J121" s="145">
        <f>K121-1</f>
        <v>2025</v>
      </c>
      <c r="K121" s="146">
        <f>K$82</f>
        <v>2026</v>
      </c>
      <c r="L121" s="146">
        <f>L$82</f>
        <v>2027</v>
      </c>
      <c r="M121" s="146">
        <f>M$82</f>
        <v>2028</v>
      </c>
      <c r="N121" s="146">
        <f>N$82</f>
        <v>2029</v>
      </c>
      <c r="O121" s="146">
        <f>O$82</f>
        <v>2030</v>
      </c>
    </row>
    <row r="122" spans="1:15" hidden="1" outlineLevel="1" x14ac:dyDescent="0.25">
      <c r="A122" s="71"/>
      <c r="B122" s="72" t="s">
        <v>31</v>
      </c>
      <c r="C122" s="71"/>
      <c r="D122" s="71"/>
      <c r="E122" s="71"/>
      <c r="F122" s="123"/>
      <c r="G122" s="123"/>
      <c r="H122" s="123"/>
      <c r="I122" s="123"/>
      <c r="J122" s="123"/>
      <c r="K122" s="148"/>
      <c r="L122" s="148"/>
      <c r="M122" s="148"/>
      <c r="N122" s="148"/>
      <c r="O122" s="148"/>
    </row>
    <row r="123" spans="1:15" hidden="1" outlineLevel="1" x14ac:dyDescent="0.25">
      <c r="A123" s="71"/>
      <c r="B123" s="71"/>
      <c r="C123" s="71" t="s">
        <v>32</v>
      </c>
      <c r="D123" s="71"/>
      <c r="E123" s="71"/>
      <c r="F123" s="149">
        <v>10066.08</v>
      </c>
      <c r="G123" s="149">
        <v>20236.43</v>
      </c>
      <c r="H123" s="149">
        <v>27398.39</v>
      </c>
      <c r="I123" s="149">
        <v>34345.67</v>
      </c>
      <c r="J123" s="149">
        <v>40156.75</v>
      </c>
      <c r="K123" s="148">
        <f ca="1">K102</f>
        <v>39058.600637229363</v>
      </c>
      <c r="L123" s="148">
        <f ca="1">L102</f>
        <v>46418.888748884085</v>
      </c>
      <c r="M123" s="148">
        <f ca="1">M102</f>
        <v>55252.327311528032</v>
      </c>
      <c r="N123" s="148">
        <f ca="1">N102</f>
        <v>64992.407869991846</v>
      </c>
      <c r="O123" s="148">
        <f ca="1">O102</f>
        <v>75367.927376562206</v>
      </c>
    </row>
    <row r="124" spans="1:15" hidden="1" outlineLevel="1" x14ac:dyDescent="0.25">
      <c r="A124" s="71"/>
      <c r="B124" s="71"/>
      <c r="C124" s="71"/>
      <c r="D124" s="71"/>
      <c r="E124" s="71"/>
      <c r="F124" s="123"/>
      <c r="G124" s="123"/>
      <c r="H124" s="123"/>
      <c r="I124" s="123"/>
      <c r="J124" s="123"/>
      <c r="K124" s="148"/>
      <c r="L124" s="148"/>
      <c r="M124" s="148"/>
      <c r="N124" s="148"/>
      <c r="O124" s="148"/>
    </row>
    <row r="125" spans="1:15" hidden="1" outlineLevel="1" x14ac:dyDescent="0.25">
      <c r="A125" s="71"/>
      <c r="B125" s="71" t="s">
        <v>33</v>
      </c>
      <c r="C125" s="71"/>
      <c r="D125" s="71"/>
      <c r="E125" s="71"/>
      <c r="F125" s="123"/>
      <c r="G125" s="123"/>
      <c r="H125" s="123"/>
      <c r="I125" s="123"/>
      <c r="J125" s="123"/>
      <c r="K125" s="148"/>
      <c r="L125" s="148"/>
      <c r="M125" s="148"/>
      <c r="N125" s="148"/>
      <c r="O125" s="148"/>
    </row>
    <row r="126" spans="1:15" hidden="1" outlineLevel="1" x14ac:dyDescent="0.25">
      <c r="A126" s="71"/>
      <c r="B126" s="71"/>
      <c r="C126" s="71" t="s">
        <v>34</v>
      </c>
      <c r="D126" s="71"/>
      <c r="E126" s="71"/>
      <c r="F126" s="149">
        <v>5037.54</v>
      </c>
      <c r="G126" s="149">
        <v>5830.99</v>
      </c>
      <c r="H126" s="149">
        <v>6409.04</v>
      </c>
      <c r="I126" s="149">
        <v>8386.9500000000007</v>
      </c>
      <c r="J126" s="149">
        <v>10634.17</v>
      </c>
      <c r="K126" s="148">
        <f>K406</f>
        <v>13102.57943291684</v>
      </c>
      <c r="L126" s="148">
        <f>L406</f>
        <v>14023.967730534931</v>
      </c>
      <c r="M126" s="148">
        <f>M406</f>
        <v>15004.450029766867</v>
      </c>
      <c r="N126" s="148">
        <f>N406</f>
        <v>16083.349731684462</v>
      </c>
      <c r="O126" s="148">
        <f>O406</f>
        <v>17254.71944093065</v>
      </c>
    </row>
    <row r="127" spans="1:15" hidden="1" outlineLevel="1" x14ac:dyDescent="0.25">
      <c r="A127" s="71"/>
      <c r="B127" s="71"/>
      <c r="C127" s="71" t="s">
        <v>35</v>
      </c>
      <c r="D127" s="71"/>
      <c r="E127" s="71"/>
      <c r="F127" s="149">
        <v>275.08</v>
      </c>
      <c r="G127" s="149">
        <v>340.9</v>
      </c>
      <c r="H127" s="149">
        <v>400.02</v>
      </c>
      <c r="I127" s="149">
        <v>1086.9100000000001</v>
      </c>
      <c r="J127" s="149">
        <v>1530.46</v>
      </c>
      <c r="K127" s="148">
        <f>K494</f>
        <v>1602.0834527393279</v>
      </c>
      <c r="L127" s="148">
        <f>L494</f>
        <v>1894.2103049741168</v>
      </c>
      <c r="M127" s="148">
        <f>M494</f>
        <v>1894.2103049741168</v>
      </c>
      <c r="N127" s="148">
        <f>N494</f>
        <v>1894.2103049741168</v>
      </c>
      <c r="O127" s="148">
        <f>O494</f>
        <v>1894.2103049741168</v>
      </c>
    </row>
    <row r="128" spans="1:15" hidden="1" outlineLevel="1" x14ac:dyDescent="0.25">
      <c r="A128" s="71"/>
      <c r="B128" s="71"/>
      <c r="C128" s="71" t="s">
        <v>36</v>
      </c>
      <c r="D128" s="71"/>
      <c r="E128" s="71"/>
      <c r="F128" s="149">
        <v>1850.37</v>
      </c>
      <c r="G128" s="149">
        <v>1854.49</v>
      </c>
      <c r="H128" s="149">
        <v>2680.99</v>
      </c>
      <c r="I128" s="149">
        <v>4503.8599999999997</v>
      </c>
      <c r="J128" s="149">
        <v>1695.79</v>
      </c>
      <c r="K128" s="148">
        <f ca="1">K451</f>
        <v>1538.5461177587867</v>
      </c>
      <c r="L128" s="148">
        <f ca="1">L451</f>
        <v>760.40855645025977</v>
      </c>
      <c r="M128" s="148">
        <f ca="1">M451</f>
        <v>654.47932360471532</v>
      </c>
      <c r="N128" s="148">
        <f ca="1">N451</f>
        <v>571.32916177448635</v>
      </c>
      <c r="O128" s="148">
        <f ca="1">O451</f>
        <v>530.7315392896918</v>
      </c>
    </row>
    <row r="129" spans="1:15" hidden="1" outlineLevel="1" x14ac:dyDescent="0.25">
      <c r="A129" s="71"/>
      <c r="B129" s="71"/>
      <c r="C129" s="71" t="s">
        <v>37</v>
      </c>
      <c r="D129" s="71"/>
      <c r="E129" s="71"/>
      <c r="F129" s="149">
        <v>-145.16</v>
      </c>
      <c r="G129" s="149">
        <v>-228.29</v>
      </c>
      <c r="H129" s="149">
        <v>-238</v>
      </c>
      <c r="I129" s="149">
        <v>-419</v>
      </c>
      <c r="J129" s="149">
        <v>-317.64999999999998</v>
      </c>
      <c r="K129" s="148">
        <f ca="1">-K424</f>
        <v>-756.83034604269392</v>
      </c>
      <c r="L129" s="148">
        <f ca="1">-L424</f>
        <v>-918.22099874906621</v>
      </c>
      <c r="M129" s="148">
        <f ca="1">-M424</f>
        <v>-2300.5223898791469</v>
      </c>
      <c r="N129" s="148">
        <f ca="1">-N424</f>
        <v>-4041.0744020751663</v>
      </c>
      <c r="O129" s="148">
        <f ca="1">-O424</f>
        <v>-6174.8102793130438</v>
      </c>
    </row>
    <row r="130" spans="1:15" hidden="1" outlineLevel="1" x14ac:dyDescent="0.25">
      <c r="A130" s="71"/>
      <c r="B130" s="71"/>
      <c r="C130" s="71" t="s">
        <v>38</v>
      </c>
      <c r="D130" s="71"/>
      <c r="E130" s="71"/>
      <c r="F130" s="149">
        <v>0.54</v>
      </c>
      <c r="G130" s="149">
        <v>90.02</v>
      </c>
      <c r="H130" s="149">
        <v>-249.65</v>
      </c>
      <c r="I130" s="149">
        <v>-532.57000000000005</v>
      </c>
      <c r="J130" s="149">
        <v>69.62</v>
      </c>
      <c r="K130" s="148">
        <v>0</v>
      </c>
      <c r="L130" s="148">
        <v>0</v>
      </c>
      <c r="M130" s="148">
        <v>0</v>
      </c>
      <c r="N130" s="148">
        <v>0</v>
      </c>
      <c r="O130" s="148">
        <v>0</v>
      </c>
    </row>
    <row r="131" spans="1:15" hidden="1" outlineLevel="1" x14ac:dyDescent="0.25">
      <c r="A131" s="71"/>
      <c r="B131" s="71"/>
      <c r="C131" s="71" t="s">
        <v>39</v>
      </c>
      <c r="D131" s="71"/>
      <c r="E131" s="71"/>
      <c r="F131" s="149">
        <v>258.01</v>
      </c>
      <c r="G131" s="149">
        <v>619.59</v>
      </c>
      <c r="H131" s="149">
        <v>839.32</v>
      </c>
      <c r="I131" s="149">
        <v>739.41</v>
      </c>
      <c r="J131" s="149">
        <v>-838.84</v>
      </c>
      <c r="K131" s="148">
        <v>0</v>
      </c>
      <c r="L131" s="148">
        <v>0</v>
      </c>
      <c r="M131" s="148">
        <v>0</v>
      </c>
      <c r="N131" s="148">
        <v>0</v>
      </c>
      <c r="O131" s="148">
        <v>0</v>
      </c>
    </row>
    <row r="132" spans="1:15" hidden="1" outlineLevel="1" x14ac:dyDescent="0.25">
      <c r="A132" s="71"/>
      <c r="B132" s="71"/>
      <c r="C132" s="71" t="s">
        <v>40</v>
      </c>
      <c r="D132" s="71"/>
      <c r="E132" s="71"/>
      <c r="F132" s="149">
        <v>-1098.5</v>
      </c>
      <c r="G132" s="149">
        <v>-1258.6199999999999</v>
      </c>
      <c r="H132" s="149">
        <v>81.87</v>
      </c>
      <c r="I132" s="149">
        <v>-330.72</v>
      </c>
      <c r="J132" s="149">
        <v>-3245.11</v>
      </c>
      <c r="K132" s="148">
        <f>K502</f>
        <v>976.45800790478779</v>
      </c>
      <c r="L132" s="148">
        <f>L502</f>
        <v>813.83096560900913</v>
      </c>
      <c r="M132" s="148">
        <f>M502</f>
        <v>887.53738678792342</v>
      </c>
      <c r="N132" s="148">
        <f>N502</f>
        <v>958.91696400751243</v>
      </c>
      <c r="O132" s="148">
        <f>O502</f>
        <v>999.13561159393521</v>
      </c>
    </row>
    <row r="133" spans="1:15" hidden="1" outlineLevel="1" x14ac:dyDescent="0.25">
      <c r="A133" s="71"/>
      <c r="B133" s="71"/>
      <c r="C133" s="71"/>
      <c r="D133" s="71"/>
      <c r="E133" s="71"/>
      <c r="F133" s="123"/>
      <c r="G133" s="123"/>
      <c r="H133" s="123"/>
      <c r="I133" s="123"/>
      <c r="J133" s="123"/>
      <c r="K133" s="148"/>
      <c r="L133" s="148"/>
      <c r="M133" s="148"/>
      <c r="N133" s="148"/>
      <c r="O133" s="148"/>
    </row>
    <row r="134" spans="1:15" hidden="1" outlineLevel="1" x14ac:dyDescent="0.25">
      <c r="A134" s="139"/>
      <c r="B134" s="139"/>
      <c r="C134" s="139" t="s">
        <v>41</v>
      </c>
      <c r="D134" s="139"/>
      <c r="E134" s="139"/>
      <c r="F134" s="140">
        <f>F123+(SUM(F126:F132))</f>
        <v>16243.96</v>
      </c>
      <c r="G134" s="140">
        <f t="shared" ref="G134:O134" si="9">G123+(SUM(G126:G132))</f>
        <v>27485.51</v>
      </c>
      <c r="H134" s="140">
        <f t="shared" si="9"/>
        <v>37321.979999999996</v>
      </c>
      <c r="I134" s="140">
        <f t="shared" si="9"/>
        <v>47780.51</v>
      </c>
      <c r="J134" s="140">
        <f t="shared" si="9"/>
        <v>49685.19</v>
      </c>
      <c r="K134" s="157">
        <f t="shared" ca="1" si="9"/>
        <v>55521.437302506412</v>
      </c>
      <c r="L134" s="157">
        <f t="shared" ca="1" si="9"/>
        <v>62993.085307703332</v>
      </c>
      <c r="M134" s="157">
        <f t="shared" ca="1" si="9"/>
        <v>71392.481966782507</v>
      </c>
      <c r="N134" s="157">
        <f t="shared" ca="1" si="9"/>
        <v>80459.139630357255</v>
      </c>
      <c r="O134" s="157">
        <f t="shared" ca="1" si="9"/>
        <v>89871.913994037561</v>
      </c>
    </row>
    <row r="135" spans="1:15" hidden="1" outlineLevel="1" x14ac:dyDescent="0.25">
      <c r="A135" s="79"/>
      <c r="B135" s="79"/>
      <c r="C135" s="79"/>
      <c r="D135" s="79"/>
      <c r="E135" s="79"/>
      <c r="F135" s="119"/>
      <c r="G135" s="119"/>
      <c r="H135" s="119"/>
      <c r="I135" s="119"/>
      <c r="J135" s="119"/>
      <c r="K135" s="161"/>
      <c r="L135" s="161"/>
      <c r="M135" s="161"/>
      <c r="N135" s="161"/>
      <c r="O135" s="161"/>
    </row>
    <row r="136" spans="1:15" hidden="1" outlineLevel="1" x14ac:dyDescent="0.25">
      <c r="A136" s="71"/>
      <c r="B136" s="71" t="s">
        <v>42</v>
      </c>
      <c r="C136" s="71"/>
      <c r="D136" s="71"/>
      <c r="E136" s="71"/>
      <c r="F136" s="123"/>
      <c r="G136" s="123"/>
      <c r="H136" s="123"/>
      <c r="I136" s="123"/>
      <c r="J136" s="123"/>
      <c r="K136" s="148"/>
      <c r="L136" s="148"/>
      <c r="M136" s="148"/>
      <c r="N136" s="148"/>
      <c r="O136" s="148"/>
    </row>
    <row r="137" spans="1:15" hidden="1" outlineLevel="1" x14ac:dyDescent="0.25">
      <c r="A137" s="71"/>
      <c r="B137" s="71"/>
      <c r="C137" s="71" t="s">
        <v>43</v>
      </c>
      <c r="D137" s="71"/>
      <c r="E137" s="71"/>
      <c r="F137" s="149">
        <v>-5192.83</v>
      </c>
      <c r="G137" s="149">
        <v>-5568.33</v>
      </c>
      <c r="H137" s="149">
        <v>-1601.73</v>
      </c>
      <c r="I137" s="149">
        <v>-4787.7</v>
      </c>
      <c r="J137" s="149">
        <v>147.84</v>
      </c>
      <c r="K137" s="148">
        <f>K309</f>
        <v>-7064.7501926219702</v>
      </c>
      <c r="L137" s="148">
        <f>L309</f>
        <v>-5120.2134606287582</v>
      </c>
      <c r="M137" s="148">
        <f>M309</f>
        <v>-5583.9370418181788</v>
      </c>
      <c r="N137" s="148">
        <f>N309</f>
        <v>-6033.0212958441116</v>
      </c>
      <c r="O137" s="148">
        <f>O309</f>
        <v>-6286.0567165179746</v>
      </c>
    </row>
    <row r="138" spans="1:15" hidden="1" outlineLevel="1" x14ac:dyDescent="0.25">
      <c r="A138" s="71"/>
      <c r="B138" s="71"/>
      <c r="C138" s="71" t="s">
        <v>44</v>
      </c>
      <c r="D138" s="71"/>
      <c r="E138" s="71"/>
      <c r="F138" s="149">
        <v>146.56</v>
      </c>
      <c r="G138" s="149">
        <v>-1233.8</v>
      </c>
      <c r="H138" s="149">
        <v>-730.18</v>
      </c>
      <c r="I138" s="149">
        <v>-1332.15</v>
      </c>
      <c r="J138" s="149">
        <v>-2851.03</v>
      </c>
      <c r="K138" s="148">
        <f>K308</f>
        <v>-2520.8474338825599</v>
      </c>
      <c r="L138" s="148">
        <f>L308</f>
        <v>-2101.0055574962098</v>
      </c>
      <c r="M138" s="148">
        <f>M308</f>
        <v>-2291.2878237948062</v>
      </c>
      <c r="N138" s="148">
        <f>N308</f>
        <v>-2475.5630538702062</v>
      </c>
      <c r="O138" s="148">
        <f>O308</f>
        <v>-2579.3924799609449</v>
      </c>
    </row>
    <row r="139" spans="1:15" hidden="1" outlineLevel="1" x14ac:dyDescent="0.25">
      <c r="A139" s="71"/>
      <c r="B139" s="71"/>
      <c r="C139" s="71" t="s">
        <v>45</v>
      </c>
      <c r="D139" s="71"/>
      <c r="E139" s="71"/>
      <c r="F139" s="149">
        <v>-921.85</v>
      </c>
      <c r="G139" s="149">
        <v>-3257.13</v>
      </c>
      <c r="H139" s="149">
        <v>-4572.18</v>
      </c>
      <c r="I139" s="149">
        <v>-5224.3</v>
      </c>
      <c r="J139" s="149">
        <v>2230.71</v>
      </c>
      <c r="K139" s="148">
        <f>K310</f>
        <v>-3411.015484183692</v>
      </c>
      <c r="L139" s="148">
        <f>L310</f>
        <v>-2842.9179777602658</v>
      </c>
      <c r="M139" s="148">
        <f>M310</f>
        <v>-3100.3932013641061</v>
      </c>
      <c r="N139" s="148">
        <f>N310</f>
        <v>-3349.740168852175</v>
      </c>
      <c r="O139" s="148">
        <f>O310</f>
        <v>-3490.2341056724435</v>
      </c>
    </row>
    <row r="140" spans="1:15" hidden="1" outlineLevel="1" x14ac:dyDescent="0.25">
      <c r="A140" s="71"/>
      <c r="B140" s="71"/>
      <c r="C140" s="71" t="s">
        <v>46</v>
      </c>
      <c r="D140" s="71"/>
      <c r="E140" s="71"/>
      <c r="F140" s="149">
        <v>3280.66</v>
      </c>
      <c r="G140" s="149">
        <v>4207.33</v>
      </c>
      <c r="H140" s="149">
        <v>169.28</v>
      </c>
      <c r="I140" s="149">
        <v>4650.2700000000004</v>
      </c>
      <c r="J140" s="149">
        <v>-5238.0600000000004</v>
      </c>
      <c r="K140" s="148">
        <f>K306</f>
        <v>4738.3684284574401</v>
      </c>
      <c r="L140" s="148">
        <f>L306</f>
        <v>3320.1723818776263</v>
      </c>
      <c r="M140" s="148">
        <f>M306</f>
        <v>3620.8712177619891</v>
      </c>
      <c r="N140" s="148">
        <f>N306</f>
        <v>3912.0772678257531</v>
      </c>
      <c r="O140" s="148">
        <f>O306</f>
        <v>4076.1566019820607</v>
      </c>
    </row>
    <row r="141" spans="1:15" hidden="1" outlineLevel="1" x14ac:dyDescent="0.25">
      <c r="A141" s="139"/>
      <c r="B141" s="139"/>
      <c r="C141" s="162" t="s">
        <v>47</v>
      </c>
      <c r="D141" s="139"/>
      <c r="E141" s="139"/>
      <c r="F141" s="140">
        <f>F134+(SUM(F137:F140))</f>
        <v>13556.5</v>
      </c>
      <c r="G141" s="140">
        <f t="shared" ref="G141:O141" si="10">G134+(SUM(G137:G140))</f>
        <v>21633.579999999998</v>
      </c>
      <c r="H141" s="140">
        <f t="shared" si="10"/>
        <v>30587.169999999995</v>
      </c>
      <c r="I141" s="140">
        <f t="shared" si="10"/>
        <v>41086.630000000005</v>
      </c>
      <c r="J141" s="140">
        <f t="shared" si="10"/>
        <v>43974.65</v>
      </c>
      <c r="K141" s="157">
        <f t="shared" ca="1" si="10"/>
        <v>47263.192620275629</v>
      </c>
      <c r="L141" s="157">
        <f t="shared" ca="1" si="10"/>
        <v>56249.120693695724</v>
      </c>
      <c r="M141" s="157">
        <f t="shared" ca="1" si="10"/>
        <v>64037.735117567405</v>
      </c>
      <c r="N141" s="157">
        <f t="shared" ca="1" si="10"/>
        <v>72512.892379616518</v>
      </c>
      <c r="O141" s="157">
        <f t="shared" ca="1" si="10"/>
        <v>81592.387293868262</v>
      </c>
    </row>
    <row r="142" spans="1:15" hidden="1" outlineLevel="1" x14ac:dyDescent="0.25">
      <c r="A142" s="71"/>
      <c r="B142" s="71"/>
      <c r="C142" s="71" t="s">
        <v>48</v>
      </c>
      <c r="D142" s="71"/>
      <c r="E142" s="71"/>
      <c r="F142" s="149">
        <v>-1242.28</v>
      </c>
      <c r="G142" s="149">
        <v>-3733.29</v>
      </c>
      <c r="H142" s="149">
        <v>-6679.39</v>
      </c>
      <c r="I142" s="149">
        <v>-7275.66</v>
      </c>
      <c r="J142" s="149">
        <v>-8881.51</v>
      </c>
      <c r="K142" s="148">
        <f ca="1">-K519</f>
        <v>-9136.3943224734412</v>
      </c>
      <c r="L142" s="148">
        <f ca="1">-L519</f>
        <v>-10858.07644671713</v>
      </c>
      <c r="M142" s="148">
        <f ca="1">-M519</f>
        <v>-12924.350624874247</v>
      </c>
      <c r="N142" s="148">
        <f ca="1">-N519</f>
        <v>-15202.702006207688</v>
      </c>
      <c r="O142" s="148">
        <f ca="1">-O519</f>
        <v>-17629.69211762982</v>
      </c>
    </row>
    <row r="143" spans="1:15" hidden="1" outlineLevel="1" x14ac:dyDescent="0.25">
      <c r="A143" s="139"/>
      <c r="B143" s="139" t="s">
        <v>49</v>
      </c>
      <c r="C143" s="139"/>
      <c r="D143" s="139"/>
      <c r="E143" s="139"/>
      <c r="F143" s="140">
        <f>F141+F142</f>
        <v>12314.22</v>
      </c>
      <c r="G143" s="140">
        <f t="shared" ref="G143:O143" si="11">G141+G142</f>
        <v>17900.289999999997</v>
      </c>
      <c r="H143" s="140">
        <f t="shared" si="11"/>
        <v>23907.779999999995</v>
      </c>
      <c r="I143" s="140">
        <f t="shared" si="11"/>
        <v>33810.97</v>
      </c>
      <c r="J143" s="140">
        <f t="shared" si="11"/>
        <v>35093.14</v>
      </c>
      <c r="K143" s="157">
        <f t="shared" ca="1" si="11"/>
        <v>38126.79829780219</v>
      </c>
      <c r="L143" s="157">
        <f t="shared" ca="1" si="11"/>
        <v>45391.044246978592</v>
      </c>
      <c r="M143" s="157">
        <f t="shared" ca="1" si="11"/>
        <v>51113.384492693156</v>
      </c>
      <c r="N143" s="157">
        <f t="shared" ca="1" si="11"/>
        <v>57310.190373408826</v>
      </c>
      <c r="O143" s="157">
        <f t="shared" ca="1" si="11"/>
        <v>63962.695176238441</v>
      </c>
    </row>
    <row r="144" spans="1:15" hidden="1" outlineLevel="1" x14ac:dyDescent="0.25">
      <c r="A144" s="71"/>
      <c r="B144" s="71"/>
      <c r="C144" s="71"/>
      <c r="D144" s="71"/>
      <c r="E144" s="71"/>
      <c r="F144" s="123"/>
      <c r="G144" s="123"/>
      <c r="H144" s="123"/>
      <c r="I144" s="123"/>
      <c r="J144" s="123"/>
      <c r="K144" s="148"/>
      <c r="L144" s="148"/>
      <c r="M144" s="148"/>
      <c r="N144" s="148"/>
      <c r="O144" s="148"/>
    </row>
    <row r="145" spans="1:16" hidden="1" outlineLevel="1" x14ac:dyDescent="0.25">
      <c r="A145" s="71"/>
      <c r="B145" s="71"/>
      <c r="C145" s="71"/>
      <c r="D145" s="71"/>
      <c r="E145" s="71"/>
      <c r="F145" s="123"/>
      <c r="G145" s="123"/>
      <c r="H145" s="123"/>
      <c r="I145" s="123"/>
      <c r="J145" s="123"/>
      <c r="K145" s="148"/>
      <c r="L145" s="148"/>
      <c r="M145" s="148"/>
      <c r="N145" s="148"/>
      <c r="O145" s="148"/>
    </row>
    <row r="146" spans="1:16" hidden="1" outlineLevel="1" x14ac:dyDescent="0.25">
      <c r="A146" s="71"/>
      <c r="B146" s="72" t="s">
        <v>50</v>
      </c>
      <c r="C146" s="71"/>
      <c r="D146" s="71"/>
      <c r="E146" s="71"/>
      <c r="F146" s="123"/>
      <c r="G146" s="123"/>
      <c r="H146" s="123"/>
      <c r="I146" s="123"/>
      <c r="J146" s="123"/>
      <c r="K146" s="148"/>
      <c r="L146" s="148"/>
      <c r="M146" s="148"/>
      <c r="N146" s="148"/>
      <c r="O146" s="148"/>
    </row>
    <row r="147" spans="1:16" hidden="1" outlineLevel="1" x14ac:dyDescent="0.25">
      <c r="A147" s="71"/>
      <c r="B147" s="71"/>
      <c r="C147" s="71" t="s">
        <v>51</v>
      </c>
      <c r="D147" s="71"/>
      <c r="E147" s="71"/>
      <c r="F147" s="149">
        <v>-9228.92</v>
      </c>
      <c r="G147" s="149">
        <v>-17498.990000000002</v>
      </c>
      <c r="H147" s="149">
        <v>-31939.18</v>
      </c>
      <c r="I147" s="149">
        <v>-41422.57</v>
      </c>
      <c r="J147" s="149">
        <v>-27123.89</v>
      </c>
      <c r="K147" s="148">
        <f>-K326</f>
        <v>-21065.878499999999</v>
      </c>
      <c r="L147" s="148">
        <f>-L326</f>
        <v>-18352.579432916842</v>
      </c>
      <c r="M147" s="148">
        <f>-M326</f>
        <v>-19536.467730534932</v>
      </c>
      <c r="N147" s="148">
        <f>-N326</f>
        <v>-20792.575029766867</v>
      </c>
      <c r="O147" s="148">
        <f>-O326</f>
        <v>-22160.880981684462</v>
      </c>
    </row>
    <row r="148" spans="1:16" hidden="1" outlineLevel="1" x14ac:dyDescent="0.25">
      <c r="A148" s="71"/>
      <c r="B148" s="71"/>
      <c r="C148" s="71" t="s">
        <v>53</v>
      </c>
      <c r="D148" s="71"/>
      <c r="E148" s="71"/>
      <c r="F148" s="149">
        <v>132.46</v>
      </c>
      <c r="G148" s="149">
        <v>232.42</v>
      </c>
      <c r="H148" s="149">
        <v>220.16</v>
      </c>
      <c r="I148" s="149">
        <v>281.13</v>
      </c>
      <c r="J148" s="149">
        <v>459.92</v>
      </c>
      <c r="K148" s="148">
        <f ca="1">K424</f>
        <v>756.83034604269392</v>
      </c>
      <c r="L148" s="148">
        <f ca="1">L424</f>
        <v>918.22099874906621</v>
      </c>
      <c r="M148" s="148">
        <f ca="1">M424</f>
        <v>2300.5223898791469</v>
      </c>
      <c r="N148" s="148">
        <f ca="1">N424</f>
        <v>4041.0744020751663</v>
      </c>
      <c r="O148" s="148">
        <f ca="1">O424</f>
        <v>6174.8102793130438</v>
      </c>
    </row>
    <row r="149" spans="1:16" hidden="1" outlineLevel="1" x14ac:dyDescent="0.25">
      <c r="A149" s="71"/>
      <c r="B149" s="71"/>
      <c r="C149" s="71" t="s">
        <v>52</v>
      </c>
      <c r="D149" s="71"/>
      <c r="E149" s="71"/>
      <c r="F149" s="149">
        <v>-1009.93</v>
      </c>
      <c r="G149" s="149">
        <v>220.59</v>
      </c>
      <c r="H149" s="149">
        <v>-1179.6500000000001</v>
      </c>
      <c r="I149" s="149">
        <v>-2026.36</v>
      </c>
      <c r="J149" s="149">
        <v>-685.42</v>
      </c>
      <c r="K149" s="148">
        <f>-((K355-K361)+(K382-K388)+K347)</f>
        <v>888.19000000000017</v>
      </c>
      <c r="L149" s="148">
        <f>-((L355-L361)+(L382-L388)+L347)</f>
        <v>888.19000000000017</v>
      </c>
      <c r="M149" s="148">
        <f>-((M355-M361)+(M382-M388)+M347)</f>
        <v>888.19000000000017</v>
      </c>
      <c r="N149" s="148">
        <f>-((N355-N361)+(N382-N388)+N347)</f>
        <v>888.19000000000017</v>
      </c>
      <c r="O149" s="148">
        <f>-((O355-O361)+(O382-O388)+O347)</f>
        <v>888.19000000000017</v>
      </c>
    </row>
    <row r="150" spans="1:16" hidden="1" outlineLevel="1" x14ac:dyDescent="0.25">
      <c r="A150" s="71"/>
      <c r="B150" s="71"/>
      <c r="C150" s="71" t="s">
        <v>336</v>
      </c>
      <c r="D150" s="71"/>
      <c r="E150" s="71"/>
      <c r="F150" s="149"/>
      <c r="G150" s="149"/>
      <c r="H150" s="149"/>
      <c r="I150" s="149"/>
      <c r="J150" s="149"/>
      <c r="K150" s="148">
        <f>-K76</f>
        <v>-11314.52</v>
      </c>
      <c r="L150" s="148"/>
      <c r="M150" s="148"/>
      <c r="N150" s="148"/>
      <c r="O150" s="148"/>
    </row>
    <row r="151" spans="1:16" hidden="1" outlineLevel="1" x14ac:dyDescent="0.25">
      <c r="A151" s="139"/>
      <c r="B151" s="139" t="s">
        <v>54</v>
      </c>
      <c r="C151" s="139"/>
      <c r="D151" s="139"/>
      <c r="E151" s="139"/>
      <c r="F151" s="140">
        <f>SUM(F147:F149)</f>
        <v>-10106.390000000001</v>
      </c>
      <c r="G151" s="140">
        <f>SUM(G147:G149)</f>
        <v>-17045.980000000003</v>
      </c>
      <c r="H151" s="140">
        <f>SUM(H147:H149)</f>
        <v>-32898.67</v>
      </c>
      <c r="I151" s="140">
        <f>SUM(I147:I149)</f>
        <v>-43167.8</v>
      </c>
      <c r="J151" s="140">
        <f>SUM(J147:J149)</f>
        <v>-27349.39</v>
      </c>
      <c r="K151" s="157">
        <f ca="1">SUM(K147:K150)</f>
        <v>-30735.378153957306</v>
      </c>
      <c r="L151" s="157">
        <f ca="1">SUM(L147:L150)</f>
        <v>-16546.168434167776</v>
      </c>
      <c r="M151" s="157">
        <f ca="1">SUM(M147:M150)</f>
        <v>-16347.755340655784</v>
      </c>
      <c r="N151" s="157">
        <f ca="1">SUM(N147:N150)</f>
        <v>-15863.310627691701</v>
      </c>
      <c r="O151" s="157">
        <f ca="1">SUM(O147:O150)</f>
        <v>-15097.880702371418</v>
      </c>
    </row>
    <row r="152" spans="1:16" hidden="1" outlineLevel="1" x14ac:dyDescent="0.25">
      <c r="A152" s="71"/>
      <c r="B152" s="71"/>
      <c r="C152" s="71"/>
      <c r="D152" s="71"/>
      <c r="E152" s="71"/>
      <c r="F152" s="123"/>
      <c r="G152" s="123"/>
      <c r="H152" s="123"/>
      <c r="I152" s="123"/>
      <c r="J152" s="123"/>
      <c r="K152" s="148"/>
      <c r="L152" s="148"/>
      <c r="M152" s="148"/>
      <c r="N152" s="148"/>
      <c r="O152" s="148"/>
    </row>
    <row r="153" spans="1:16" hidden="1" outlineLevel="1" x14ac:dyDescent="0.25">
      <c r="A153" s="71"/>
      <c r="B153" s="71"/>
      <c r="C153" s="71"/>
      <c r="D153" s="71"/>
      <c r="E153" s="71"/>
      <c r="F153" s="123"/>
      <c r="G153" s="123"/>
      <c r="H153" s="123"/>
      <c r="I153" s="123"/>
      <c r="J153" s="123"/>
      <c r="K153" s="148"/>
      <c r="L153" s="148"/>
      <c r="M153" s="148"/>
      <c r="N153" s="148"/>
      <c r="O153" s="148"/>
    </row>
    <row r="154" spans="1:16" hidden="1" outlineLevel="1" x14ac:dyDescent="0.25">
      <c r="A154" s="71"/>
      <c r="B154" s="72" t="s">
        <v>55</v>
      </c>
      <c r="C154" s="71"/>
      <c r="D154" s="71"/>
      <c r="E154" s="71"/>
      <c r="F154" s="123"/>
      <c r="G154" s="123"/>
      <c r="H154" s="123"/>
      <c r="I154" s="123"/>
      <c r="J154" s="123"/>
      <c r="K154" s="148"/>
      <c r="L154" s="148"/>
      <c r="M154" s="148"/>
      <c r="N154" s="148"/>
      <c r="O154" s="148"/>
    </row>
    <row r="155" spans="1:16" hidden="1" outlineLevel="1" x14ac:dyDescent="0.25">
      <c r="A155" s="71"/>
      <c r="B155" s="71"/>
      <c r="C155" s="71" t="s">
        <v>56</v>
      </c>
      <c r="D155" s="71"/>
      <c r="E155" s="71"/>
      <c r="F155" s="149">
        <v>2139.5500000000002</v>
      </c>
      <c r="G155" s="149">
        <v>3403.61</v>
      </c>
      <c r="H155" s="149">
        <v>11251.39</v>
      </c>
      <c r="I155" s="149">
        <v>-37372.89</v>
      </c>
      <c r="J155" s="149">
        <v>-3263.81</v>
      </c>
      <c r="K155" s="148">
        <f>(K203+K210)-(J203+J210)</f>
        <v>-2705.2615277207678</v>
      </c>
      <c r="L155" s="148">
        <f>(L203+L210)-(K203+K210)</f>
        <v>-2043.1229546912914</v>
      </c>
      <c r="M155" s="148">
        <f>(M203+M210)-(L203+L210)</f>
        <v>-1333.4134375879407</v>
      </c>
      <c r="N155" s="148">
        <f>(N203+N210)-(M203+M210)</f>
        <v>-993.12342000000012</v>
      </c>
      <c r="O155" s="148">
        <f>(O203+O210)-(N203+N210)</f>
        <v>-393.12342000000001</v>
      </c>
    </row>
    <row r="156" spans="1:16" hidden="1" outlineLevel="1" x14ac:dyDescent="0.25">
      <c r="A156" s="71"/>
      <c r="B156" s="71"/>
      <c r="C156" s="71" t="s">
        <v>60</v>
      </c>
      <c r="D156" s="71"/>
      <c r="E156" s="71"/>
      <c r="F156" s="149">
        <v>-188.65</v>
      </c>
      <c r="G156" s="149">
        <v>-234.4</v>
      </c>
      <c r="H156" s="149">
        <v>-295.07</v>
      </c>
      <c r="I156" s="149">
        <v>-1558.65</v>
      </c>
      <c r="J156" s="149">
        <v>-1081.98</v>
      </c>
      <c r="K156" s="148">
        <f>-K467</f>
        <v>-1172.55</v>
      </c>
      <c r="L156" s="148">
        <f>-L467</f>
        <v>-1172.55</v>
      </c>
      <c r="M156" s="148">
        <f>-M467</f>
        <v>-1172.55</v>
      </c>
      <c r="N156" s="148">
        <f>-N467</f>
        <v>-1172.55</v>
      </c>
      <c r="O156" s="148">
        <f>-O467</f>
        <v>-1172.55</v>
      </c>
    </row>
    <row r="157" spans="1:16" hidden="1" outlineLevel="1" x14ac:dyDescent="0.25">
      <c r="A157" s="71"/>
      <c r="B157" s="71"/>
      <c r="C157" s="71" t="s">
        <v>61</v>
      </c>
      <c r="D157" s="71"/>
      <c r="E157" s="71"/>
      <c r="F157" s="149">
        <v>-853.66</v>
      </c>
      <c r="G157" s="149">
        <v>-7.97</v>
      </c>
      <c r="H157" s="149">
        <v>3812.66</v>
      </c>
      <c r="I157" s="149">
        <v>1856.96</v>
      </c>
      <c r="J157" s="149">
        <v>-1743.36</v>
      </c>
      <c r="K157" s="148">
        <f ca="1">K433</f>
        <v>-12722.93</v>
      </c>
      <c r="L157" s="148">
        <f ca="1">L433</f>
        <v>0</v>
      </c>
      <c r="M157" s="148">
        <f ca="1">M433</f>
        <v>0</v>
      </c>
      <c r="N157" s="148">
        <f ca="1">N433</f>
        <v>0</v>
      </c>
      <c r="O157" s="148">
        <f ca="1">O433</f>
        <v>0</v>
      </c>
    </row>
    <row r="158" spans="1:16" hidden="1" outlineLevel="1" x14ac:dyDescent="0.25">
      <c r="A158" s="71"/>
      <c r="B158" s="71"/>
      <c r="C158" s="71" t="s">
        <v>66</v>
      </c>
      <c r="D158" s="71"/>
      <c r="E158" s="71"/>
      <c r="F158" s="149">
        <v>0</v>
      </c>
      <c r="G158" s="149">
        <v>0</v>
      </c>
      <c r="H158" s="149">
        <v>47.92</v>
      </c>
      <c r="I158" s="149">
        <v>74507.7</v>
      </c>
      <c r="J158" s="149">
        <v>83.88</v>
      </c>
      <c r="K158" s="148"/>
      <c r="L158" s="148"/>
      <c r="M158" s="148"/>
      <c r="N158" s="148"/>
      <c r="O158" s="148"/>
    </row>
    <row r="159" spans="1:16" hidden="1" outlineLevel="1" x14ac:dyDescent="0.25">
      <c r="A159" s="71"/>
      <c r="B159" s="71"/>
      <c r="C159" s="71" t="s">
        <v>57</v>
      </c>
      <c r="D159" s="71"/>
      <c r="E159" s="71"/>
      <c r="F159" s="149">
        <v>-1791.48</v>
      </c>
      <c r="G159" s="149">
        <v>-1716.79</v>
      </c>
      <c r="H159" s="149">
        <v>-2694.42</v>
      </c>
      <c r="I159" s="149">
        <v>-4649.55</v>
      </c>
      <c r="J159" s="149">
        <v>-1586.84</v>
      </c>
      <c r="K159" s="148">
        <f ca="1">-K451</f>
        <v>-1538.5461177587867</v>
      </c>
      <c r="L159" s="148">
        <f ca="1">-L451</f>
        <v>-760.40855645025977</v>
      </c>
      <c r="M159" s="148">
        <f ca="1">-M451</f>
        <v>-654.47932360471532</v>
      </c>
      <c r="N159" s="148">
        <f ca="1">-N451</f>
        <v>-571.32916177448635</v>
      </c>
      <c r="O159" s="148">
        <f ca="1">-O451</f>
        <v>-530.7315392896918</v>
      </c>
      <c r="P159" s="7"/>
    </row>
    <row r="160" spans="1:16" hidden="1" outlineLevel="1" x14ac:dyDescent="0.25">
      <c r="A160" s="71"/>
      <c r="B160" s="71"/>
      <c r="C160" s="71" t="s">
        <v>58</v>
      </c>
      <c r="D160" s="71"/>
      <c r="E160" s="71"/>
      <c r="F160" s="149">
        <v>-1082.58</v>
      </c>
      <c r="G160" s="149">
        <v>-1623.87</v>
      </c>
      <c r="H160" s="149">
        <v>-2273.48</v>
      </c>
      <c r="I160" s="149">
        <v>-3248.2</v>
      </c>
      <c r="J160" s="149">
        <v>-5072.54</v>
      </c>
      <c r="K160" s="148">
        <f ca="1">-K552</f>
        <v>-3994.2742969421738</v>
      </c>
      <c r="L160" s="148">
        <f ca="1">-L552</f>
        <v>-4746.9640795466566</v>
      </c>
      <c r="M160" s="148">
        <f ca="1">-M552</f>
        <v>-5650.3035752979658</v>
      </c>
      <c r="N160" s="148">
        <f ca="1">-N552</f>
        <v>-6646.3595729553845</v>
      </c>
      <c r="O160" s="148">
        <f ca="1">-O552</f>
        <v>-7707.3978643020127</v>
      </c>
    </row>
    <row r="161" spans="1:15" hidden="1" outlineLevel="1" x14ac:dyDescent="0.25">
      <c r="A161" s="139"/>
      <c r="B161" s="139" t="s">
        <v>59</v>
      </c>
      <c r="C161" s="139"/>
      <c r="D161" s="139"/>
      <c r="E161" s="139"/>
      <c r="F161" s="140">
        <f>SUM(F155:F160)</f>
        <v>-1776.8199999999997</v>
      </c>
      <c r="G161" s="140">
        <f t="shared" ref="G161:O161" si="12">SUM(G155:G160)</f>
        <v>-179.41999999999962</v>
      </c>
      <c r="H161" s="140">
        <f t="shared" si="12"/>
        <v>9849</v>
      </c>
      <c r="I161" s="140">
        <f t="shared" si="12"/>
        <v>29535.369999999992</v>
      </c>
      <c r="J161" s="140">
        <f t="shared" si="12"/>
        <v>-12664.65</v>
      </c>
      <c r="K161" s="157">
        <f t="shared" ca="1" si="12"/>
        <v>-22133.561942421729</v>
      </c>
      <c r="L161" s="157">
        <f t="shared" ca="1" si="12"/>
        <v>-8723.0455906882071</v>
      </c>
      <c r="M161" s="157">
        <f t="shared" ca="1" si="12"/>
        <v>-8810.7463364906216</v>
      </c>
      <c r="N161" s="157">
        <f t="shared" ca="1" si="12"/>
        <v>-9383.3621547298717</v>
      </c>
      <c r="O161" s="157">
        <f t="shared" ca="1" si="12"/>
        <v>-9803.8028235917045</v>
      </c>
    </row>
    <row r="162" spans="1:15" hidden="1" outlineLevel="1" x14ac:dyDescent="0.25">
      <c r="A162" s="71"/>
      <c r="B162" s="71"/>
      <c r="C162" s="71"/>
      <c r="D162" s="71"/>
      <c r="E162" s="71"/>
      <c r="F162" s="123"/>
      <c r="G162" s="123"/>
      <c r="H162" s="123"/>
      <c r="I162" s="123"/>
      <c r="J162" s="123"/>
      <c r="K162" s="148"/>
      <c r="L162" s="148"/>
      <c r="M162" s="148"/>
      <c r="N162" s="148"/>
      <c r="O162" s="148"/>
    </row>
    <row r="163" spans="1:15" hidden="1" outlineLevel="1" x14ac:dyDescent="0.25">
      <c r="A163" s="74"/>
      <c r="B163" s="155" t="s">
        <v>62</v>
      </c>
      <c r="C163" s="74"/>
      <c r="D163" s="74"/>
      <c r="E163" s="74"/>
      <c r="F163" s="124">
        <f>F143+F151+F161</f>
        <v>431.0099999999984</v>
      </c>
      <c r="G163" s="124">
        <f t="shared" ref="G163:O163" si="13">G143+G151+G161</f>
        <v>674.88999999999442</v>
      </c>
      <c r="H163" s="124">
        <f t="shared" si="13"/>
        <v>858.10999999999694</v>
      </c>
      <c r="I163" s="124">
        <f t="shared" si="13"/>
        <v>20178.53999999999</v>
      </c>
      <c r="J163" s="124">
        <f t="shared" si="13"/>
        <v>-4920.8999999999996</v>
      </c>
      <c r="K163" s="156">
        <f t="shared" ca="1" si="13"/>
        <v>-14742.141798576846</v>
      </c>
      <c r="L163" s="156">
        <f t="shared" ca="1" si="13"/>
        <v>20121.830222122611</v>
      </c>
      <c r="M163" s="156">
        <f t="shared" ca="1" si="13"/>
        <v>25954.882815546749</v>
      </c>
      <c r="N163" s="156">
        <f t="shared" ca="1" si="13"/>
        <v>32063.517590987252</v>
      </c>
      <c r="O163" s="156">
        <f t="shared" ca="1" si="13"/>
        <v>39061.011650275323</v>
      </c>
    </row>
    <row r="164" spans="1:15" hidden="1" outlineLevel="1" x14ac:dyDescent="0.25">
      <c r="A164" s="71"/>
      <c r="B164" s="71" t="s">
        <v>64</v>
      </c>
      <c r="C164" s="71"/>
      <c r="D164" s="71"/>
      <c r="E164" s="71"/>
      <c r="F164" s="149">
        <v>1045.58</v>
      </c>
      <c r="G164" s="123">
        <f t="shared" ref="G164:O164" si="14">F166</f>
        <v>1507.4999999999984</v>
      </c>
      <c r="H164" s="123">
        <f t="shared" si="14"/>
        <v>1543.3199999999929</v>
      </c>
      <c r="I164" s="123">
        <f t="shared" si="14"/>
        <v>2422.1199999999899</v>
      </c>
      <c r="J164" s="123">
        <f t="shared" si="14"/>
        <v>22662.82999999998</v>
      </c>
      <c r="K164" s="148">
        <f t="shared" si="14"/>
        <v>17841.769999999979</v>
      </c>
      <c r="L164" s="148">
        <f t="shared" ca="1" si="14"/>
        <v>3099.6282014231329</v>
      </c>
      <c r="M164" s="148">
        <f t="shared" ca="1" si="14"/>
        <v>23221.458423545744</v>
      </c>
      <c r="N164" s="148">
        <f t="shared" ca="1" si="14"/>
        <v>49176.341239092493</v>
      </c>
      <c r="O164" s="148">
        <f t="shared" ca="1" si="14"/>
        <v>81239.858830079742</v>
      </c>
    </row>
    <row r="165" spans="1:15" hidden="1" outlineLevel="1" x14ac:dyDescent="0.25">
      <c r="A165" s="71"/>
      <c r="B165" s="71" t="s">
        <v>63</v>
      </c>
      <c r="C165" s="71"/>
      <c r="D165" s="71"/>
      <c r="E165" s="71"/>
      <c r="F165" s="149">
        <v>30.91</v>
      </c>
      <c r="G165" s="149">
        <v>-639.07000000000005</v>
      </c>
      <c r="H165" s="149">
        <v>20.69</v>
      </c>
      <c r="I165" s="149">
        <v>62.17</v>
      </c>
      <c r="J165" s="149">
        <v>99.84</v>
      </c>
      <c r="K165" s="148">
        <v>0</v>
      </c>
      <c r="L165" s="148">
        <v>0</v>
      </c>
      <c r="M165" s="148">
        <v>0</v>
      </c>
      <c r="N165" s="148">
        <v>0</v>
      </c>
      <c r="O165" s="148">
        <v>0</v>
      </c>
    </row>
    <row r="166" spans="1:15" ht="15.75" hidden="1" outlineLevel="1" thickBot="1" x14ac:dyDescent="0.3">
      <c r="A166" s="163"/>
      <c r="B166" s="164" t="s">
        <v>65</v>
      </c>
      <c r="C166" s="163"/>
      <c r="D166" s="163"/>
      <c r="E166" s="163"/>
      <c r="F166" s="165">
        <f>SUM(F163:F165)</f>
        <v>1507.4999999999984</v>
      </c>
      <c r="G166" s="165">
        <f t="shared" ref="G166:O166" si="15">SUM(G163:G165)</f>
        <v>1543.3199999999929</v>
      </c>
      <c r="H166" s="165">
        <f t="shared" si="15"/>
        <v>2422.1199999999899</v>
      </c>
      <c r="I166" s="165">
        <f t="shared" si="15"/>
        <v>22662.82999999998</v>
      </c>
      <c r="J166" s="165">
        <f t="shared" si="15"/>
        <v>17841.769999999979</v>
      </c>
      <c r="K166" s="166">
        <f t="shared" ca="1" si="15"/>
        <v>3099.6282014231329</v>
      </c>
      <c r="L166" s="166">
        <f t="shared" ca="1" si="15"/>
        <v>23221.458423545744</v>
      </c>
      <c r="M166" s="166">
        <f t="shared" ca="1" si="15"/>
        <v>49176.341239092493</v>
      </c>
      <c r="N166" s="166">
        <f t="shared" ca="1" si="15"/>
        <v>81239.858830079742</v>
      </c>
      <c r="O166" s="166">
        <f t="shared" ca="1" si="15"/>
        <v>120300.87048035506</v>
      </c>
    </row>
    <row r="167" spans="1:15" hidden="1" outlineLevel="1" x14ac:dyDescent="0.25">
      <c r="A167" s="71"/>
      <c r="B167" s="71"/>
      <c r="C167" s="71"/>
      <c r="D167" s="71"/>
      <c r="E167" s="71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</row>
    <row r="168" spans="1:15" hidden="1" outlineLevel="1" x14ac:dyDescent="0.25">
      <c r="A168" s="71"/>
      <c r="B168" s="71"/>
      <c r="C168" s="71"/>
      <c r="D168" s="71"/>
      <c r="E168" s="71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</row>
    <row r="169" spans="1:15" collapsed="1" x14ac:dyDescent="0.25">
      <c r="A169" s="71"/>
      <c r="B169" s="71"/>
      <c r="C169" s="71"/>
      <c r="D169" s="71"/>
      <c r="E169" s="71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</row>
    <row r="170" spans="1:15" ht="25.5" x14ac:dyDescent="0.35">
      <c r="A170" s="142" t="s">
        <v>67</v>
      </c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5"/>
    </row>
    <row r="171" spans="1:15" hidden="1" outlineLevel="1" x14ac:dyDescent="0.25">
      <c r="A171" s="71"/>
      <c r="B171" s="71"/>
      <c r="C171" s="71"/>
      <c r="D171" s="71"/>
      <c r="E171" s="71"/>
      <c r="F171" s="167" t="str">
        <f>IF(F191=F219,"CHECK","ERROR")</f>
        <v>CHECK</v>
      </c>
      <c r="G171" s="167" t="str">
        <f>IF(G191=G219,"CHECK","ERROR")</f>
        <v>CHECK</v>
      </c>
      <c r="H171" s="167" t="str">
        <f>IF(H191=H219,"CHECK","ERROR")</f>
        <v>CHECK</v>
      </c>
      <c r="I171" s="167" t="str">
        <f>IF(I191=I219,"CHECK","ERROR")</f>
        <v>CHECK</v>
      </c>
      <c r="J171" s="167" t="str">
        <f>IF(J191=J219,"CHECK","ERROR")</f>
        <v>CHECK</v>
      </c>
      <c r="K171" s="167" t="str">
        <f>IF(ABS(F191-F219)&lt;1,"CHECK","ERROR")</f>
        <v>CHECK</v>
      </c>
      <c r="L171" s="167" t="str">
        <f>IF(ABS(G191-G219)&lt;1,"CHECK","ERROR")</f>
        <v>CHECK</v>
      </c>
      <c r="M171" s="167" t="str">
        <f>IF(ABS(H191-H219)&lt;1,"CHECK","ERROR")</f>
        <v>CHECK</v>
      </c>
      <c r="N171" s="167" t="str">
        <f>IF(ABS(I191-I219)&lt;1,"CHECK","ERROR")</f>
        <v>CHECK</v>
      </c>
      <c r="O171" s="167" t="str">
        <f>IF(ABS(J191-J219)&lt;1,"CHECK","ERROR")</f>
        <v>CHECK</v>
      </c>
    </row>
    <row r="172" spans="1:15" hidden="1" outlineLevel="1" x14ac:dyDescent="0.25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</row>
    <row r="173" spans="1:15" hidden="1" outlineLevel="1" x14ac:dyDescent="0.25">
      <c r="A173" s="144" t="s">
        <v>68</v>
      </c>
      <c r="B173" s="86"/>
      <c r="C173" s="86"/>
      <c r="D173" s="86"/>
      <c r="E173" s="86"/>
      <c r="F173" s="145">
        <f>G173-1</f>
        <v>2021</v>
      </c>
      <c r="G173" s="145">
        <f>H173-1</f>
        <v>2022</v>
      </c>
      <c r="H173" s="145">
        <f>I173-1</f>
        <v>2023</v>
      </c>
      <c r="I173" s="145">
        <f>J173-1</f>
        <v>2024</v>
      </c>
      <c r="J173" s="145">
        <f>K173-1</f>
        <v>2025</v>
      </c>
      <c r="K173" s="146">
        <f>K$82</f>
        <v>2026</v>
      </c>
      <c r="L173" s="146">
        <f>L$82</f>
        <v>2027</v>
      </c>
      <c r="M173" s="146">
        <f>M$82</f>
        <v>2028</v>
      </c>
      <c r="N173" s="146">
        <f>N$82</f>
        <v>2029</v>
      </c>
      <c r="O173" s="146">
        <f>O$82</f>
        <v>2030</v>
      </c>
    </row>
    <row r="174" spans="1:15" hidden="1" outlineLevel="1" x14ac:dyDescent="0.25">
      <c r="A174" s="71"/>
      <c r="B174" s="72" t="s">
        <v>69</v>
      </c>
      <c r="C174" s="71"/>
      <c r="D174" s="71"/>
      <c r="E174" s="71"/>
      <c r="F174" s="71"/>
      <c r="G174" s="71"/>
      <c r="H174" s="71"/>
      <c r="I174" s="71"/>
      <c r="J174" s="71"/>
      <c r="K174" s="147"/>
      <c r="L174" s="147"/>
      <c r="M174" s="147"/>
      <c r="N174" s="147"/>
      <c r="O174" s="147"/>
    </row>
    <row r="175" spans="1:15" hidden="1" outlineLevel="1" x14ac:dyDescent="0.25">
      <c r="A175" s="71"/>
      <c r="B175" s="71"/>
      <c r="C175" s="71" t="s">
        <v>70</v>
      </c>
      <c r="D175" s="71"/>
      <c r="E175" s="71"/>
      <c r="F175" s="149">
        <v>56517.8</v>
      </c>
      <c r="G175" s="149">
        <v>60482.1</v>
      </c>
      <c r="H175" s="149">
        <v>87253.54</v>
      </c>
      <c r="I175" s="149">
        <v>117848.94</v>
      </c>
      <c r="J175" s="149">
        <v>141036.71</v>
      </c>
      <c r="K175" s="148">
        <f>K408</f>
        <v>151255.81906708315</v>
      </c>
      <c r="L175" s="148">
        <f>L408</f>
        <v>154696.2407694651</v>
      </c>
      <c r="M175" s="148">
        <f>M408</f>
        <v>158340.06847023312</v>
      </c>
      <c r="N175" s="148">
        <f>N408</f>
        <v>162161.10376831554</v>
      </c>
      <c r="O175" s="148">
        <f>O408</f>
        <v>166179.07530906936</v>
      </c>
    </row>
    <row r="176" spans="1:15" hidden="1" outlineLevel="1" x14ac:dyDescent="0.25">
      <c r="A176" s="71"/>
      <c r="B176" s="71"/>
      <c r="C176" s="71" t="s">
        <v>71</v>
      </c>
      <c r="D176" s="71"/>
      <c r="E176" s="71"/>
      <c r="F176" s="149">
        <v>5727.99</v>
      </c>
      <c r="G176" s="149">
        <v>9155.01</v>
      </c>
      <c r="H176" s="149">
        <v>10347.07</v>
      </c>
      <c r="I176" s="149">
        <v>13631.22</v>
      </c>
      <c r="J176" s="149">
        <v>13690.47</v>
      </c>
      <c r="K176" s="148">
        <f>K466</f>
        <v>13690.47</v>
      </c>
      <c r="L176" s="148">
        <f>L466</f>
        <v>13690.47</v>
      </c>
      <c r="M176" s="148">
        <f>M466</f>
        <v>13690.47</v>
      </c>
      <c r="N176" s="148">
        <f>N466</f>
        <v>13690.47</v>
      </c>
      <c r="O176" s="148">
        <f>O466</f>
        <v>13690.47</v>
      </c>
    </row>
    <row r="177" spans="1:21" hidden="1" outlineLevel="1" x14ac:dyDescent="0.25">
      <c r="A177" s="71"/>
      <c r="B177" s="71"/>
      <c r="C177" s="71" t="s">
        <v>293</v>
      </c>
      <c r="D177" s="71"/>
      <c r="E177" s="71"/>
      <c r="F177" s="149">
        <v>242.3</v>
      </c>
      <c r="G177" s="149">
        <v>242.3</v>
      </c>
      <c r="H177" s="149">
        <v>242.3</v>
      </c>
      <c r="I177" s="149">
        <v>3009.37</v>
      </c>
      <c r="J177" s="149">
        <v>3542.13</v>
      </c>
      <c r="K177" s="148">
        <f>K471</f>
        <v>8231.32</v>
      </c>
      <c r="L177" s="148">
        <f>L471</f>
        <v>8231.32</v>
      </c>
      <c r="M177" s="148">
        <f>M471</f>
        <v>8231.32</v>
      </c>
      <c r="N177" s="148">
        <f>N471</f>
        <v>8231.32</v>
      </c>
      <c r="O177" s="148">
        <f>O471</f>
        <v>8231.32</v>
      </c>
    </row>
    <row r="178" spans="1:21" hidden="1" outlineLevel="1" x14ac:dyDescent="0.25">
      <c r="A178" s="71"/>
      <c r="B178" s="71"/>
      <c r="C178" s="71" t="s">
        <v>294</v>
      </c>
      <c r="D178" s="71"/>
      <c r="E178" s="71"/>
      <c r="F178" s="149">
        <v>5585.74</v>
      </c>
      <c r="G178" s="149">
        <v>5509.1</v>
      </c>
      <c r="H178" s="149">
        <v>5471</v>
      </c>
      <c r="I178" s="149">
        <v>11194.95</v>
      </c>
      <c r="J178" s="149">
        <v>12027.83</v>
      </c>
      <c r="K178" s="148">
        <f>K492</f>
        <v>15079.626547260672</v>
      </c>
      <c r="L178" s="148">
        <f>L492</f>
        <v>14357.966242286555</v>
      </c>
      <c r="M178" s="148">
        <f>M492</f>
        <v>13636.305937312438</v>
      </c>
      <c r="N178" s="148">
        <f>N492</f>
        <v>12914.645632338321</v>
      </c>
      <c r="O178" s="148">
        <f>O492</f>
        <v>12192.985327364204</v>
      </c>
    </row>
    <row r="179" spans="1:21" hidden="1" outlineLevel="1" x14ac:dyDescent="0.25">
      <c r="A179" s="71"/>
      <c r="B179" s="71"/>
      <c r="C179" s="71" t="s">
        <v>72</v>
      </c>
      <c r="D179" s="71"/>
      <c r="E179" s="71"/>
      <c r="F179" s="149">
        <v>420.64</v>
      </c>
      <c r="G179" s="149">
        <v>486.85</v>
      </c>
      <c r="H179" s="149">
        <v>833.5</v>
      </c>
      <c r="I179" s="149">
        <v>1801.15</v>
      </c>
      <c r="J179" s="149">
        <v>3132.04</v>
      </c>
      <c r="K179" s="148">
        <f>J179</f>
        <v>3132.04</v>
      </c>
      <c r="L179" s="148">
        <f>K179</f>
        <v>3132.04</v>
      </c>
      <c r="M179" s="148">
        <f>L179</f>
        <v>3132.04</v>
      </c>
      <c r="N179" s="148">
        <f>M179</f>
        <v>3132.04</v>
      </c>
      <c r="O179" s="148">
        <f>N179</f>
        <v>3132.04</v>
      </c>
    </row>
    <row r="180" spans="1:21" hidden="1" outlineLevel="1" x14ac:dyDescent="0.25">
      <c r="A180" s="71"/>
      <c r="B180" s="71"/>
      <c r="C180" s="71" t="s">
        <v>73</v>
      </c>
      <c r="D180" s="71"/>
      <c r="E180" s="71"/>
      <c r="F180" s="149">
        <v>1863.3</v>
      </c>
      <c r="G180" s="149">
        <v>6266.77</v>
      </c>
      <c r="H180" s="149">
        <v>5368.12</v>
      </c>
      <c r="I180" s="149">
        <v>5313.73</v>
      </c>
      <c r="J180" s="149">
        <v>3261.95</v>
      </c>
      <c r="K180" s="148">
        <f>K465</f>
        <v>3920.2906085960408</v>
      </c>
      <c r="L180" s="148">
        <f>L465</f>
        <v>4468.9859634971408</v>
      </c>
      <c r="M180" s="148">
        <f>M465</f>
        <v>5067.3751401330665</v>
      </c>
      <c r="N180" s="148">
        <f>N465</f>
        <v>5713.8893502344908</v>
      </c>
      <c r="O180" s="148">
        <f>O465</f>
        <v>6387.5194923213248</v>
      </c>
    </row>
    <row r="181" spans="1:21" hidden="1" outlineLevel="1" x14ac:dyDescent="0.25">
      <c r="A181" s="139"/>
      <c r="B181" s="139"/>
      <c r="C181" s="168" t="s">
        <v>77</v>
      </c>
      <c r="D181" s="139"/>
      <c r="E181" s="139"/>
      <c r="F181" s="140">
        <f t="shared" ref="F181:O181" si="16">SUM(F175:F180)</f>
        <v>70357.77</v>
      </c>
      <c r="G181" s="140">
        <f t="shared" si="16"/>
        <v>82142.130000000019</v>
      </c>
      <c r="H181" s="140">
        <f t="shared" si="16"/>
        <v>109515.52999999998</v>
      </c>
      <c r="I181" s="140">
        <f t="shared" si="16"/>
        <v>152799.36000000002</v>
      </c>
      <c r="J181" s="140">
        <f t="shared" si="16"/>
        <v>176691.13</v>
      </c>
      <c r="K181" s="157">
        <f t="shared" si="16"/>
        <v>195309.56622293987</v>
      </c>
      <c r="L181" s="157">
        <f t="shared" si="16"/>
        <v>198577.02297524881</v>
      </c>
      <c r="M181" s="157">
        <f t="shared" si="16"/>
        <v>202097.57954767864</v>
      </c>
      <c r="N181" s="157">
        <f t="shared" si="16"/>
        <v>205843.46875088839</v>
      </c>
      <c r="O181" s="157">
        <f t="shared" si="16"/>
        <v>209813.41012875491</v>
      </c>
    </row>
    <row r="182" spans="1:21" hidden="1" outlineLevel="1" x14ac:dyDescent="0.25">
      <c r="A182" s="71"/>
      <c r="B182" s="71"/>
      <c r="C182" s="71"/>
      <c r="D182" s="71"/>
      <c r="E182" s="71"/>
      <c r="F182" s="123"/>
      <c r="G182" s="123"/>
      <c r="H182" s="123"/>
      <c r="I182" s="123"/>
      <c r="J182" s="123"/>
      <c r="K182" s="148"/>
      <c r="L182" s="148"/>
      <c r="M182" s="148"/>
      <c r="N182" s="148"/>
      <c r="O182" s="148"/>
    </row>
    <row r="183" spans="1:21" hidden="1" outlineLevel="1" x14ac:dyDescent="0.25">
      <c r="A183" s="71"/>
      <c r="B183" s="72" t="s">
        <v>74</v>
      </c>
      <c r="C183" s="71"/>
      <c r="D183" s="71"/>
      <c r="E183" s="71"/>
      <c r="F183" s="123"/>
      <c r="G183" s="123"/>
      <c r="H183" s="123"/>
      <c r="I183" s="123"/>
      <c r="J183" s="123"/>
      <c r="K183" s="148"/>
      <c r="L183" s="148"/>
      <c r="M183" s="148"/>
      <c r="N183" s="148"/>
      <c r="O183" s="148"/>
    </row>
    <row r="184" spans="1:21" hidden="1" outlineLevel="1" x14ac:dyDescent="0.25">
      <c r="A184" s="71"/>
      <c r="B184" s="71"/>
      <c r="C184" s="71" t="s">
        <v>43</v>
      </c>
      <c r="D184" s="71"/>
      <c r="E184" s="71"/>
      <c r="F184" s="149">
        <v>14480.87</v>
      </c>
      <c r="G184" s="149">
        <v>19938.849999999999</v>
      </c>
      <c r="H184" s="149">
        <v>21505.33</v>
      </c>
      <c r="I184" s="149">
        <v>27912.34</v>
      </c>
      <c r="J184" s="149">
        <v>29517.89</v>
      </c>
      <c r="K184" s="148">
        <f>K289</f>
        <v>36582.64019262197</v>
      </c>
      <c r="L184" s="148">
        <f>L289</f>
        <v>41702.853653250728</v>
      </c>
      <c r="M184" s="148">
        <f>M289</f>
        <v>47286.790695068907</v>
      </c>
      <c r="N184" s="148">
        <f>N289</f>
        <v>53319.811990913018</v>
      </c>
      <c r="O184" s="148">
        <f>O289</f>
        <v>59605.868707430993</v>
      </c>
    </row>
    <row r="185" spans="1:21" hidden="1" outlineLevel="1" x14ac:dyDescent="0.25">
      <c r="A185" s="71"/>
      <c r="B185" s="71"/>
      <c r="C185" s="71" t="s">
        <v>44</v>
      </c>
      <c r="D185" s="71"/>
      <c r="E185" s="71"/>
      <c r="F185" s="149">
        <v>2212.4899999999998</v>
      </c>
      <c r="G185" s="149">
        <v>2993.38</v>
      </c>
      <c r="H185" s="149">
        <v>3593.85</v>
      </c>
      <c r="I185" s="149">
        <v>8458.42</v>
      </c>
      <c r="J185" s="149">
        <v>12490.31</v>
      </c>
      <c r="K185" s="148">
        <f>K288</f>
        <v>15011.157433882559</v>
      </c>
      <c r="L185" s="148">
        <f>L288</f>
        <v>17112.162991378769</v>
      </c>
      <c r="M185" s="148">
        <f>M288</f>
        <v>19403.450815173575</v>
      </c>
      <c r="N185" s="148">
        <f>N288</f>
        <v>21879.013869043782</v>
      </c>
      <c r="O185" s="148">
        <f>O288</f>
        <v>24458.406349004727</v>
      </c>
      <c r="Q185" s="6"/>
      <c r="R185" s="6"/>
      <c r="S185" s="6"/>
      <c r="T185" s="6"/>
      <c r="U185" s="6"/>
    </row>
    <row r="186" spans="1:21" hidden="1" outlineLevel="1" x14ac:dyDescent="0.25">
      <c r="A186" s="71"/>
      <c r="B186" s="71"/>
      <c r="C186" s="71" t="s">
        <v>75</v>
      </c>
      <c r="D186" s="71"/>
      <c r="E186" s="71"/>
      <c r="F186" s="149">
        <v>1507.5</v>
      </c>
      <c r="G186" s="149">
        <v>1543.32</v>
      </c>
      <c r="H186" s="149">
        <v>2422.12</v>
      </c>
      <c r="I186" s="149">
        <v>22662.83</v>
      </c>
      <c r="J186" s="149">
        <v>17841.77</v>
      </c>
      <c r="K186" s="148">
        <f ca="1">K166</f>
        <v>3099.6282014231329</v>
      </c>
      <c r="L186" s="148">
        <f ca="1">L166</f>
        <v>23221.458423545744</v>
      </c>
      <c r="M186" s="148">
        <f ca="1">M166</f>
        <v>49176.341239092493</v>
      </c>
      <c r="N186" s="148">
        <f ca="1">N166</f>
        <v>81239.858830079742</v>
      </c>
      <c r="O186" s="148">
        <f ca="1">O166</f>
        <v>120300.87048035506</v>
      </c>
    </row>
    <row r="187" spans="1:21" hidden="1" outlineLevel="1" x14ac:dyDescent="0.25">
      <c r="A187" s="71"/>
      <c r="B187" s="71"/>
      <c r="C187" s="71" t="s">
        <v>317</v>
      </c>
      <c r="D187" s="71"/>
      <c r="E187" s="71"/>
      <c r="F187" s="149">
        <v>1858.72</v>
      </c>
      <c r="G187" s="149">
        <v>1309.3499999999999</v>
      </c>
      <c r="H187" s="149">
        <v>2176.5</v>
      </c>
      <c r="I187" s="149">
        <v>1837.71</v>
      </c>
      <c r="J187" s="149">
        <v>2143.14</v>
      </c>
      <c r="K187" s="148">
        <f>J187</f>
        <v>2143.14</v>
      </c>
      <c r="L187" s="148">
        <f>K187</f>
        <v>2143.14</v>
      </c>
      <c r="M187" s="148">
        <f>L187</f>
        <v>2143.14</v>
      </c>
      <c r="N187" s="148">
        <f>M187</f>
        <v>2143.14</v>
      </c>
      <c r="O187" s="148">
        <f>N187</f>
        <v>2143.14</v>
      </c>
    </row>
    <row r="188" spans="1:21" hidden="1" outlineLevel="1" x14ac:dyDescent="0.25">
      <c r="A188" s="71"/>
      <c r="B188" s="71"/>
      <c r="C188" s="71" t="s">
        <v>76</v>
      </c>
      <c r="D188" s="71"/>
      <c r="E188" s="71"/>
      <c r="F188" s="149">
        <v>5401.55</v>
      </c>
      <c r="G188" s="149">
        <v>8255.4</v>
      </c>
      <c r="H188" s="149">
        <v>12658.5</v>
      </c>
      <c r="I188" s="149">
        <v>17768.439999999999</v>
      </c>
      <c r="J188" s="149">
        <v>16900.919999999998</v>
      </c>
      <c r="K188" s="148">
        <f>K290</f>
        <v>20311.93548418369</v>
      </c>
      <c r="L188" s="148">
        <f>L290</f>
        <v>23154.853461943956</v>
      </c>
      <c r="M188" s="148">
        <f>M290</f>
        <v>26255.246663308062</v>
      </c>
      <c r="N188" s="148">
        <f>N290</f>
        <v>29604.986832160237</v>
      </c>
      <c r="O188" s="148">
        <f>O290</f>
        <v>33095.220937832681</v>
      </c>
    </row>
    <row r="189" spans="1:21" hidden="1" outlineLevel="1" x14ac:dyDescent="0.25">
      <c r="A189" s="139"/>
      <c r="B189" s="139"/>
      <c r="C189" s="169" t="s">
        <v>78</v>
      </c>
      <c r="D189" s="139"/>
      <c r="E189" s="139"/>
      <c r="F189" s="140">
        <f>SUM(F184:F188)</f>
        <v>25461.13</v>
      </c>
      <c r="G189" s="140">
        <f t="shared" ref="G189:O189" si="17">SUM(G184:G188)</f>
        <v>34040.299999999996</v>
      </c>
      <c r="H189" s="140">
        <f t="shared" si="17"/>
        <v>42356.3</v>
      </c>
      <c r="I189" s="140">
        <f t="shared" si="17"/>
        <v>78639.740000000005</v>
      </c>
      <c r="J189" s="140">
        <f t="shared" si="17"/>
        <v>78894.03</v>
      </c>
      <c r="K189" s="157">
        <f t="shared" ca="1" si="17"/>
        <v>77148.501312111359</v>
      </c>
      <c r="L189" s="157">
        <f t="shared" ca="1" si="17"/>
        <v>107334.46853011919</v>
      </c>
      <c r="M189" s="157">
        <f t="shared" ca="1" si="17"/>
        <v>144264.96941264305</v>
      </c>
      <c r="N189" s="157">
        <f t="shared" ca="1" si="17"/>
        <v>188186.81152219677</v>
      </c>
      <c r="O189" s="157">
        <f t="shared" ca="1" si="17"/>
        <v>239603.50647462346</v>
      </c>
    </row>
    <row r="190" spans="1:21" hidden="1" outlineLevel="1" x14ac:dyDescent="0.25">
      <c r="A190" s="79"/>
      <c r="B190" s="79"/>
      <c r="C190" s="170" t="s">
        <v>108</v>
      </c>
      <c r="D190" s="79"/>
      <c r="E190" s="79"/>
      <c r="F190" s="171">
        <v>0</v>
      </c>
      <c r="G190" s="171">
        <v>0</v>
      </c>
      <c r="H190" s="171">
        <v>0</v>
      </c>
      <c r="I190" s="171">
        <v>0</v>
      </c>
      <c r="J190" s="171">
        <v>66.400000000000006</v>
      </c>
      <c r="K190" s="161">
        <f>J190</f>
        <v>66.400000000000006</v>
      </c>
      <c r="L190" s="161">
        <f>K190</f>
        <v>66.400000000000006</v>
      </c>
      <c r="M190" s="161">
        <f>L190</f>
        <v>66.400000000000006</v>
      </c>
      <c r="N190" s="161">
        <f>M190</f>
        <v>66.400000000000006</v>
      </c>
      <c r="O190" s="161">
        <f>N190</f>
        <v>66.400000000000006</v>
      </c>
    </row>
    <row r="191" spans="1:21" hidden="1" outlineLevel="1" x14ac:dyDescent="0.25">
      <c r="A191" s="71"/>
      <c r="B191" s="71"/>
      <c r="C191" s="172" t="s">
        <v>79</v>
      </c>
      <c r="D191" s="71"/>
      <c r="E191" s="71"/>
      <c r="F191" s="123">
        <f>F181+F189</f>
        <v>95818.900000000009</v>
      </c>
      <c r="G191" s="123">
        <f>G181+G189</f>
        <v>116182.43000000002</v>
      </c>
      <c r="H191" s="123">
        <f>H181+H189</f>
        <v>151871.82999999999</v>
      </c>
      <c r="I191" s="123">
        <f>I181+I189</f>
        <v>231439.10000000003</v>
      </c>
      <c r="J191" s="123">
        <f t="shared" ref="J191:O191" si="18">J181+J189+J190</f>
        <v>255651.56</v>
      </c>
      <c r="K191" s="148">
        <f t="shared" ca="1" si="18"/>
        <v>272524.46753505128</v>
      </c>
      <c r="L191" s="148">
        <f t="shared" ca="1" si="18"/>
        <v>305977.89150536805</v>
      </c>
      <c r="M191" s="148">
        <f t="shared" ca="1" si="18"/>
        <v>346428.94896032172</v>
      </c>
      <c r="N191" s="148">
        <f t="shared" ca="1" si="18"/>
        <v>394096.68027308519</v>
      </c>
      <c r="O191" s="148">
        <f t="shared" ca="1" si="18"/>
        <v>449483.31660337839</v>
      </c>
    </row>
    <row r="192" spans="1:21" hidden="1" outlineLevel="1" x14ac:dyDescent="0.25">
      <c r="A192" s="71"/>
      <c r="B192" s="71"/>
      <c r="C192" s="71"/>
      <c r="D192" s="71"/>
      <c r="E192" s="71"/>
      <c r="F192" s="123"/>
      <c r="G192" s="123"/>
      <c r="H192" s="123"/>
      <c r="I192" s="123"/>
      <c r="J192" s="123"/>
      <c r="K192" s="148"/>
      <c r="L192" s="148"/>
      <c r="M192" s="148"/>
      <c r="N192" s="148"/>
      <c r="O192" s="148"/>
    </row>
    <row r="193" spans="1:15" hidden="1" outlineLevel="1" x14ac:dyDescent="0.25">
      <c r="A193" s="71"/>
      <c r="B193" s="72" t="s">
        <v>80</v>
      </c>
      <c r="C193" s="71"/>
      <c r="D193" s="71"/>
      <c r="E193" s="71"/>
      <c r="F193" s="123"/>
      <c r="G193" s="123"/>
      <c r="H193" s="123"/>
      <c r="I193" s="123"/>
      <c r="J193" s="123"/>
      <c r="K193" s="148"/>
      <c r="L193" s="148"/>
      <c r="M193" s="148"/>
      <c r="N193" s="148"/>
      <c r="O193" s="148"/>
    </row>
    <row r="194" spans="1:15" hidden="1" outlineLevel="1" x14ac:dyDescent="0.25">
      <c r="A194" s="71"/>
      <c r="B194" s="72" t="s">
        <v>81</v>
      </c>
      <c r="C194" s="71"/>
      <c r="D194" s="71"/>
      <c r="E194" s="71"/>
      <c r="F194" s="123"/>
      <c r="G194" s="123"/>
      <c r="H194" s="123"/>
      <c r="I194" s="123"/>
      <c r="J194" s="123"/>
      <c r="K194" s="148"/>
      <c r="L194" s="148"/>
      <c r="M194" s="148"/>
      <c r="N194" s="148"/>
      <c r="O194" s="148"/>
    </row>
    <row r="195" spans="1:15" hidden="1" outlineLevel="1" x14ac:dyDescent="0.25">
      <c r="A195" s="71"/>
      <c r="B195" s="71"/>
      <c r="C195" s="71" t="s">
        <v>91</v>
      </c>
      <c r="D195" s="71"/>
      <c r="E195" s="71"/>
      <c r="F195" s="149">
        <v>4330.33</v>
      </c>
      <c r="G195" s="149">
        <v>6495.5</v>
      </c>
      <c r="H195" s="149">
        <v>6496.07</v>
      </c>
      <c r="I195" s="149">
        <v>6763.02</v>
      </c>
      <c r="J195" s="149">
        <v>6763.98</v>
      </c>
      <c r="K195" s="148">
        <f>J195</f>
        <v>6763.98</v>
      </c>
      <c r="L195" s="148">
        <f>K195</f>
        <v>6763.98</v>
      </c>
      <c r="M195" s="148">
        <f>L195</f>
        <v>6763.98</v>
      </c>
      <c r="N195" s="148">
        <f>M195</f>
        <v>6763.98</v>
      </c>
      <c r="O195" s="148">
        <f>N195</f>
        <v>6763.98</v>
      </c>
    </row>
    <row r="196" spans="1:15" hidden="1" outlineLevel="1" x14ac:dyDescent="0.25">
      <c r="A196" s="71"/>
      <c r="B196" s="71"/>
      <c r="C196" s="71" t="s">
        <v>92</v>
      </c>
      <c r="D196" s="71"/>
      <c r="E196" s="71"/>
      <c r="F196" s="149">
        <v>36468.75</v>
      </c>
      <c r="G196" s="149">
        <v>44528.3</v>
      </c>
      <c r="H196" s="149">
        <v>62868.91</v>
      </c>
      <c r="I196" s="149">
        <v>159335.26999999999</v>
      </c>
      <c r="J196" s="149">
        <v>189023.06</v>
      </c>
      <c r="K196" s="148">
        <f ca="1">K554</f>
        <v>214950.99201781375</v>
      </c>
      <c r="L196" s="148">
        <f ca="1">L554</f>
        <v>245764.84024043404</v>
      </c>
      <c r="M196" s="148">
        <f ca="1">M554</f>
        <v>282442.51335178985</v>
      </c>
      <c r="N196" s="148">
        <f ca="1">N554</f>
        <v>325585.85964261857</v>
      </c>
      <c r="O196" s="148">
        <f ca="1">O554</f>
        <v>375616.69703724893</v>
      </c>
    </row>
    <row r="197" spans="1:15" hidden="1" outlineLevel="1" x14ac:dyDescent="0.25">
      <c r="A197" s="74"/>
      <c r="B197" s="155" t="s">
        <v>93</v>
      </c>
      <c r="C197" s="74"/>
      <c r="D197" s="74"/>
      <c r="E197" s="74"/>
      <c r="F197" s="124">
        <f>F196+F195</f>
        <v>40799.08</v>
      </c>
      <c r="G197" s="124">
        <f t="shared" ref="G197:O197" si="19">G196+G195</f>
        <v>51023.8</v>
      </c>
      <c r="H197" s="124">
        <f t="shared" si="19"/>
        <v>69364.98000000001</v>
      </c>
      <c r="I197" s="124">
        <f t="shared" si="19"/>
        <v>166098.28999999998</v>
      </c>
      <c r="J197" s="124">
        <f t="shared" si="19"/>
        <v>195787.04</v>
      </c>
      <c r="K197" s="156">
        <f t="shared" ca="1" si="19"/>
        <v>221714.97201781376</v>
      </c>
      <c r="L197" s="156">
        <f t="shared" ca="1" si="19"/>
        <v>252528.82024043406</v>
      </c>
      <c r="M197" s="156">
        <f t="shared" ca="1" si="19"/>
        <v>289206.49335178983</v>
      </c>
      <c r="N197" s="156">
        <f t="shared" ca="1" si="19"/>
        <v>332349.83964261855</v>
      </c>
      <c r="O197" s="156">
        <f t="shared" ca="1" si="19"/>
        <v>382380.67703724891</v>
      </c>
    </row>
    <row r="198" spans="1:15" hidden="1" outlineLevel="1" x14ac:dyDescent="0.25">
      <c r="A198" s="86"/>
      <c r="B198" s="86"/>
      <c r="C198" s="86" t="s">
        <v>94</v>
      </c>
      <c r="D198" s="86"/>
      <c r="E198" s="86"/>
      <c r="F198" s="151">
        <v>1167.8900000000001</v>
      </c>
      <c r="G198" s="151">
        <v>1131.07</v>
      </c>
      <c r="H198" s="151">
        <v>1481.55</v>
      </c>
      <c r="I198" s="151">
        <v>1298.07</v>
      </c>
      <c r="J198" s="151">
        <v>1622.51</v>
      </c>
      <c r="K198" s="152">
        <f>J198</f>
        <v>1622.51</v>
      </c>
      <c r="L198" s="152">
        <f>K198</f>
        <v>1622.51</v>
      </c>
      <c r="M198" s="152">
        <f>L198</f>
        <v>1622.51</v>
      </c>
      <c r="N198" s="152">
        <f>M198</f>
        <v>1622.51</v>
      </c>
      <c r="O198" s="152">
        <f>N198</f>
        <v>1622.51</v>
      </c>
    </row>
    <row r="199" spans="1:15" hidden="1" outlineLevel="1" x14ac:dyDescent="0.25">
      <c r="A199" s="71"/>
      <c r="B199" s="71"/>
      <c r="C199" s="173" t="s">
        <v>95</v>
      </c>
      <c r="D199" s="71"/>
      <c r="E199" s="71"/>
      <c r="F199" s="123">
        <f>F197+F198</f>
        <v>41966.97</v>
      </c>
      <c r="G199" s="123">
        <f t="shared" ref="G199:O199" si="20">G197+G198</f>
        <v>52154.87</v>
      </c>
      <c r="H199" s="123">
        <f t="shared" si="20"/>
        <v>70846.530000000013</v>
      </c>
      <c r="I199" s="123">
        <f t="shared" si="20"/>
        <v>167396.35999999999</v>
      </c>
      <c r="J199" s="123">
        <f t="shared" si="20"/>
        <v>197409.55000000002</v>
      </c>
      <c r="K199" s="148">
        <f t="shared" ca="1" si="20"/>
        <v>223337.48201781377</v>
      </c>
      <c r="L199" s="148">
        <f t="shared" ca="1" si="20"/>
        <v>254151.33024043406</v>
      </c>
      <c r="M199" s="148">
        <f t="shared" ca="1" si="20"/>
        <v>290829.00335178984</v>
      </c>
      <c r="N199" s="148">
        <f t="shared" ca="1" si="20"/>
        <v>333972.34964261856</v>
      </c>
      <c r="O199" s="148">
        <f t="shared" ca="1" si="20"/>
        <v>384003.18703724892</v>
      </c>
    </row>
    <row r="200" spans="1:15" hidden="1" outlineLevel="1" x14ac:dyDescent="0.25">
      <c r="A200" s="71"/>
      <c r="B200" s="71"/>
      <c r="C200" s="71"/>
      <c r="D200" s="71"/>
      <c r="E200" s="71"/>
      <c r="F200" s="123"/>
      <c r="G200" s="123"/>
      <c r="H200" s="123"/>
      <c r="I200" s="123"/>
      <c r="J200" s="123"/>
      <c r="K200" s="148"/>
      <c r="L200" s="148"/>
      <c r="M200" s="148"/>
      <c r="N200" s="148"/>
      <c r="O200" s="148"/>
    </row>
    <row r="201" spans="1:15" hidden="1" outlineLevel="1" x14ac:dyDescent="0.25">
      <c r="A201" s="71"/>
      <c r="B201" s="72" t="s">
        <v>96</v>
      </c>
      <c r="C201" s="71"/>
      <c r="D201" s="71"/>
      <c r="E201" s="71"/>
      <c r="F201" s="123"/>
      <c r="G201" s="123"/>
      <c r="H201" s="123"/>
      <c r="I201" s="123"/>
      <c r="J201" s="123"/>
      <c r="K201" s="148"/>
      <c r="L201" s="148"/>
      <c r="M201" s="148"/>
      <c r="N201" s="148"/>
      <c r="O201" s="148"/>
    </row>
    <row r="202" spans="1:15" hidden="1" outlineLevel="1" x14ac:dyDescent="0.25">
      <c r="A202" s="71"/>
      <c r="B202" s="72" t="s">
        <v>97</v>
      </c>
      <c r="C202" s="71"/>
      <c r="D202" s="71"/>
      <c r="E202" s="71"/>
      <c r="F202" s="123"/>
      <c r="G202" s="123"/>
      <c r="H202" s="123"/>
      <c r="I202" s="123"/>
      <c r="J202" s="123"/>
      <c r="K202" s="148"/>
      <c r="L202" s="148"/>
      <c r="M202" s="148"/>
      <c r="N202" s="148"/>
      <c r="O202" s="148"/>
    </row>
    <row r="203" spans="1:15" hidden="1" outlineLevel="1" x14ac:dyDescent="0.25">
      <c r="A203" s="71"/>
      <c r="B203" s="71"/>
      <c r="C203" s="71" t="s">
        <v>98</v>
      </c>
      <c r="D203" s="71"/>
      <c r="E203" s="71"/>
      <c r="F203" s="149">
        <v>18133.27</v>
      </c>
      <c r="G203" s="149">
        <v>17270.22</v>
      </c>
      <c r="H203" s="149">
        <v>31889.38</v>
      </c>
      <c r="I203" s="149">
        <v>8406.89</v>
      </c>
      <c r="J203" s="149">
        <v>5404.49</v>
      </c>
      <c r="K203" s="148">
        <f>K441</f>
        <v>2770.448269525571</v>
      </c>
      <c r="L203" s="148">
        <f>L441</f>
        <v>1435.4118184875047</v>
      </c>
      <c r="M203" s="148">
        <f>M441</f>
        <v>443.33866000000023</v>
      </c>
      <c r="N203" s="148">
        <f>N441</f>
        <v>50.215240000000108</v>
      </c>
      <c r="O203" s="148">
        <f>O441</f>
        <v>1.1368683772161603E-13</v>
      </c>
    </row>
    <row r="204" spans="1:15" hidden="1" outlineLevel="1" x14ac:dyDescent="0.25">
      <c r="A204" s="71"/>
      <c r="B204" s="71"/>
      <c r="C204" s="71" t="s">
        <v>99</v>
      </c>
      <c r="D204" s="71"/>
      <c r="E204" s="71"/>
      <c r="F204" s="149">
        <v>312.63</v>
      </c>
      <c r="G204" s="149">
        <v>1654.25</v>
      </c>
      <c r="H204" s="149">
        <v>1978.85</v>
      </c>
      <c r="I204" s="149">
        <v>3570.86</v>
      </c>
      <c r="J204" s="149">
        <v>3997.96</v>
      </c>
      <c r="K204" s="148">
        <f>J204</f>
        <v>3997.96</v>
      </c>
      <c r="L204" s="148">
        <f>K204</f>
        <v>3997.96</v>
      </c>
      <c r="M204" s="148">
        <f>L204</f>
        <v>3997.96</v>
      </c>
      <c r="N204" s="148">
        <f>M204</f>
        <v>3997.96</v>
      </c>
      <c r="O204" s="148">
        <f>N204</f>
        <v>3997.96</v>
      </c>
    </row>
    <row r="205" spans="1:15" hidden="1" outlineLevel="1" x14ac:dyDescent="0.25">
      <c r="A205" s="86"/>
      <c r="B205" s="86"/>
      <c r="C205" s="86" t="s">
        <v>100</v>
      </c>
      <c r="D205" s="86"/>
      <c r="E205" s="86"/>
      <c r="F205" s="151">
        <v>5203.57</v>
      </c>
      <c r="G205" s="151">
        <v>5415.55</v>
      </c>
      <c r="H205" s="151">
        <v>5624.95</v>
      </c>
      <c r="I205" s="151">
        <v>6820.74</v>
      </c>
      <c r="J205" s="151">
        <v>8100.11</v>
      </c>
      <c r="K205" s="152">
        <f>K498</f>
        <v>9734.9086165008284</v>
      </c>
      <c r="L205" s="152">
        <f>L498</f>
        <v>11097.434937010938</v>
      </c>
      <c r="M205" s="152">
        <f>M498</f>
        <v>12583.361500434787</v>
      </c>
      <c r="N205" s="152">
        <f>N498</f>
        <v>14188.792674543723</v>
      </c>
      <c r="O205" s="152">
        <f>O498</f>
        <v>15861.558428224493</v>
      </c>
    </row>
    <row r="206" spans="1:15" hidden="1" outlineLevel="1" x14ac:dyDescent="0.25">
      <c r="A206" s="71"/>
      <c r="B206" s="71"/>
      <c r="C206" s="173" t="s">
        <v>101</v>
      </c>
      <c r="D206" s="71"/>
      <c r="E206" s="71"/>
      <c r="F206" s="123">
        <f>SUM(F203:F205)</f>
        <v>23649.47</v>
      </c>
      <c r="G206" s="123">
        <f t="shared" ref="G206:O206" si="21">SUM(G203:G205)</f>
        <v>24340.02</v>
      </c>
      <c r="H206" s="123">
        <f t="shared" si="21"/>
        <v>39493.18</v>
      </c>
      <c r="I206" s="123">
        <f t="shared" si="21"/>
        <v>18798.489999999998</v>
      </c>
      <c r="J206" s="123">
        <f t="shared" si="21"/>
        <v>17502.560000000001</v>
      </c>
      <c r="K206" s="148">
        <f t="shared" si="21"/>
        <v>16503.316886026398</v>
      </c>
      <c r="L206" s="148">
        <f t="shared" si="21"/>
        <v>16530.806755498445</v>
      </c>
      <c r="M206" s="148">
        <f t="shared" si="21"/>
        <v>17024.660160434789</v>
      </c>
      <c r="N206" s="148">
        <f t="shared" si="21"/>
        <v>18236.967914543722</v>
      </c>
      <c r="O206" s="148">
        <f t="shared" si="21"/>
        <v>19859.518428224492</v>
      </c>
    </row>
    <row r="207" spans="1:15" hidden="1" outlineLevel="1" x14ac:dyDescent="0.25">
      <c r="A207" s="71"/>
      <c r="B207" s="71"/>
      <c r="C207" s="71"/>
      <c r="D207" s="71"/>
      <c r="E207" s="71"/>
      <c r="F207" s="123"/>
      <c r="G207" s="123"/>
      <c r="H207" s="123"/>
      <c r="I207" s="123"/>
      <c r="J207" s="123"/>
      <c r="K207" s="148"/>
      <c r="L207" s="148"/>
      <c r="M207" s="148"/>
      <c r="N207" s="148"/>
      <c r="O207" s="148"/>
    </row>
    <row r="208" spans="1:15" hidden="1" outlineLevel="1" x14ac:dyDescent="0.25">
      <c r="A208" s="71"/>
      <c r="B208" s="72" t="s">
        <v>102</v>
      </c>
      <c r="C208" s="71"/>
      <c r="D208" s="71"/>
      <c r="E208" s="71"/>
      <c r="F208" s="123"/>
      <c r="G208" s="123"/>
      <c r="H208" s="123"/>
      <c r="I208" s="123"/>
      <c r="J208" s="123"/>
      <c r="K208" s="148"/>
      <c r="L208" s="148"/>
      <c r="M208" s="148"/>
      <c r="N208" s="148"/>
      <c r="O208" s="148"/>
    </row>
    <row r="209" spans="1:15" hidden="1" outlineLevel="1" x14ac:dyDescent="0.25">
      <c r="A209" s="71"/>
      <c r="B209" s="71"/>
      <c r="C209" s="71" t="s">
        <v>342</v>
      </c>
      <c r="D209" s="71"/>
      <c r="E209" s="71"/>
      <c r="F209" s="149">
        <v>6284.92</v>
      </c>
      <c r="G209" s="149">
        <v>6276.95</v>
      </c>
      <c r="H209" s="149">
        <v>10032.049999999999</v>
      </c>
      <c r="I209" s="149">
        <v>12866.11</v>
      </c>
      <c r="J209" s="149">
        <v>12722.93</v>
      </c>
      <c r="K209" s="148">
        <f ca="1">K434</f>
        <v>0</v>
      </c>
      <c r="L209" s="148">
        <f ca="1">L434</f>
        <v>0</v>
      </c>
      <c r="M209" s="148">
        <f ca="1">M434</f>
        <v>0</v>
      </c>
      <c r="N209" s="148">
        <f ca="1">N434</f>
        <v>0</v>
      </c>
      <c r="O209" s="148">
        <f ca="1">O434</f>
        <v>0</v>
      </c>
    </row>
    <row r="210" spans="1:15" hidden="1" outlineLevel="1" x14ac:dyDescent="0.25">
      <c r="A210" s="71"/>
      <c r="B210" s="71"/>
      <c r="C210" s="71" t="s">
        <v>333</v>
      </c>
      <c r="D210" s="71"/>
      <c r="E210" s="71"/>
      <c r="F210" s="149">
        <v>9000.76</v>
      </c>
      <c r="G210" s="149">
        <v>13400.95</v>
      </c>
      <c r="H210" s="149">
        <v>10022.44</v>
      </c>
      <c r="I210" s="149">
        <v>2369.65</v>
      </c>
      <c r="J210" s="149">
        <v>2113.77</v>
      </c>
      <c r="K210" s="148">
        <f>K442</f>
        <v>2042.5502027536611</v>
      </c>
      <c r="L210" s="148">
        <f>L442</f>
        <v>1334.4636991004363</v>
      </c>
      <c r="M210" s="148">
        <f>M442</f>
        <v>993.12342000000001</v>
      </c>
      <c r="N210" s="148">
        <f>N442</f>
        <v>393.12342000000001</v>
      </c>
      <c r="O210" s="148">
        <f>O442</f>
        <v>50.215239999999994</v>
      </c>
    </row>
    <row r="211" spans="1:15" hidden="1" outlineLevel="1" x14ac:dyDescent="0.25">
      <c r="A211" s="71"/>
      <c r="B211" s="71"/>
      <c r="C211" s="71" t="s">
        <v>332</v>
      </c>
      <c r="D211" s="71"/>
      <c r="E211" s="71"/>
      <c r="F211" s="149">
        <v>136.02000000000001</v>
      </c>
      <c r="G211" s="149">
        <v>235.77</v>
      </c>
      <c r="H211" s="149">
        <v>390.38</v>
      </c>
      <c r="I211" s="149">
        <v>1049.03</v>
      </c>
      <c r="J211" s="149">
        <v>842.68</v>
      </c>
      <c r="K211" s="148">
        <f>J211</f>
        <v>842.68</v>
      </c>
      <c r="L211" s="148">
        <f>K211</f>
        <v>842.68</v>
      </c>
      <c r="M211" s="148">
        <f>L211</f>
        <v>842.68</v>
      </c>
      <c r="N211" s="148">
        <f>M211</f>
        <v>842.68</v>
      </c>
      <c r="O211" s="148">
        <f>N211</f>
        <v>842.68</v>
      </c>
    </row>
    <row r="212" spans="1:15" hidden="1" outlineLevel="1" x14ac:dyDescent="0.25">
      <c r="A212" s="71"/>
      <c r="B212" s="71"/>
      <c r="C212" s="71" t="s">
        <v>150</v>
      </c>
      <c r="D212" s="71"/>
      <c r="E212" s="71"/>
      <c r="F212" s="149">
        <v>3929.66</v>
      </c>
      <c r="G212" s="149">
        <v>5593.9</v>
      </c>
      <c r="H212" s="149">
        <v>7638.39</v>
      </c>
      <c r="I212" s="149">
        <v>7043.41</v>
      </c>
      <c r="J212" s="149">
        <v>5953.85</v>
      </c>
      <c r="K212" s="148">
        <f>K294</f>
        <v>5953.85</v>
      </c>
      <c r="L212" s="148">
        <f>L294</f>
        <v>5953.85</v>
      </c>
      <c r="M212" s="148">
        <f>M294</f>
        <v>5953.85</v>
      </c>
      <c r="N212" s="148">
        <f>N294</f>
        <v>5953.85</v>
      </c>
      <c r="O212" s="148">
        <f>O294</f>
        <v>5953.85</v>
      </c>
    </row>
    <row r="213" spans="1:15" hidden="1" outlineLevel="1" x14ac:dyDescent="0.25">
      <c r="A213" s="71"/>
      <c r="B213" s="71"/>
      <c r="C213" s="71" t="s">
        <v>103</v>
      </c>
      <c r="D213" s="71"/>
      <c r="E213" s="71"/>
      <c r="F213" s="149">
        <v>7117.53</v>
      </c>
      <c r="G213" s="149">
        <v>8242.61</v>
      </c>
      <c r="H213" s="149">
        <v>7582.48</v>
      </c>
      <c r="I213" s="149">
        <v>15604.27</v>
      </c>
      <c r="J213" s="149">
        <v>14013.04</v>
      </c>
      <c r="K213" s="148">
        <f>K292</f>
        <v>17366.891750217219</v>
      </c>
      <c r="L213" s="148">
        <f>L292</f>
        <v>19797.612781846823</v>
      </c>
      <c r="M213" s="148">
        <f>M292</f>
        <v>22448.477498954984</v>
      </c>
      <c r="N213" s="148">
        <f>N292</f>
        <v>25312.536167766182</v>
      </c>
      <c r="O213" s="148">
        <f>O292</f>
        <v>28296.718445389513</v>
      </c>
    </row>
    <row r="214" spans="1:15" hidden="1" outlineLevel="1" x14ac:dyDescent="0.25">
      <c r="A214" s="71"/>
      <c r="B214" s="71"/>
      <c r="C214" s="71" t="s">
        <v>149</v>
      </c>
      <c r="D214" s="71"/>
      <c r="E214" s="71"/>
      <c r="F214" s="149">
        <v>497.4</v>
      </c>
      <c r="G214" s="149">
        <v>291.91000000000003</v>
      </c>
      <c r="H214" s="149">
        <v>825.43</v>
      </c>
      <c r="I214" s="149">
        <v>739</v>
      </c>
      <c r="J214" s="149">
        <v>505.26</v>
      </c>
      <c r="K214" s="148">
        <f>K300</f>
        <v>988.6051698907869</v>
      </c>
      <c r="L214" s="148">
        <f>L300</f>
        <v>1126.9732447883137</v>
      </c>
      <c r="M214" s="148">
        <f>M300</f>
        <v>1277.8729337888758</v>
      </c>
      <c r="N214" s="148">
        <f>N300</f>
        <v>1440.9086253553796</v>
      </c>
      <c r="O214" s="148">
        <f>O300</f>
        <v>1610.7823177803925</v>
      </c>
    </row>
    <row r="215" spans="1:15" hidden="1" outlineLevel="1" x14ac:dyDescent="0.25">
      <c r="A215" s="71"/>
      <c r="B215" s="71"/>
      <c r="C215" s="71" t="s">
        <v>104</v>
      </c>
      <c r="D215" s="71"/>
      <c r="E215" s="71"/>
      <c r="F215" s="149">
        <v>3096.76</v>
      </c>
      <c r="G215" s="149">
        <v>4889.7700000000004</v>
      </c>
      <c r="H215" s="149">
        <v>4650.93</v>
      </c>
      <c r="I215" s="149">
        <v>4916.55</v>
      </c>
      <c r="J215" s="149">
        <v>4465.13</v>
      </c>
      <c r="K215" s="148">
        <f>K293</f>
        <v>5366.3015083494356</v>
      </c>
      <c r="L215" s="148">
        <f>L293</f>
        <v>6117.3847836999312</v>
      </c>
      <c r="M215" s="148">
        <f>M293</f>
        <v>6936.4915953531972</v>
      </c>
      <c r="N215" s="148">
        <f>N293</f>
        <v>7821.4745028012485</v>
      </c>
      <c r="O215" s="148">
        <f>O293</f>
        <v>8743.5751347349651</v>
      </c>
    </row>
    <row r="216" spans="1:15" hidden="1" outlineLevel="1" x14ac:dyDescent="0.25">
      <c r="A216" s="71"/>
      <c r="B216" s="71"/>
      <c r="C216" s="71" t="s">
        <v>148</v>
      </c>
      <c r="D216" s="71"/>
      <c r="E216" s="71"/>
      <c r="F216" s="149">
        <v>139.41</v>
      </c>
      <c r="G216" s="149">
        <v>755.68</v>
      </c>
      <c r="H216" s="149">
        <v>390.02</v>
      </c>
      <c r="I216" s="149">
        <v>656.23</v>
      </c>
      <c r="J216" s="149">
        <v>122.79</v>
      </c>
      <c r="K216" s="148">
        <f>J216</f>
        <v>122.79</v>
      </c>
      <c r="L216" s="148">
        <f>K216</f>
        <v>122.79</v>
      </c>
      <c r="M216" s="148">
        <f>L216</f>
        <v>122.79</v>
      </c>
      <c r="N216" s="148">
        <f>M216</f>
        <v>122.79</v>
      </c>
      <c r="O216" s="148">
        <f>N216</f>
        <v>122.79</v>
      </c>
    </row>
    <row r="217" spans="1:15" hidden="1" outlineLevel="1" x14ac:dyDescent="0.25">
      <c r="A217" s="74"/>
      <c r="B217" s="74"/>
      <c r="C217" s="174" t="s">
        <v>105</v>
      </c>
      <c r="D217" s="74"/>
      <c r="E217" s="74"/>
      <c r="F217" s="124">
        <f t="shared" ref="F217:O217" si="22">SUM(F209:F216)</f>
        <v>30202.460000000003</v>
      </c>
      <c r="G217" s="124">
        <f t="shared" si="22"/>
        <v>39687.54</v>
      </c>
      <c r="H217" s="124">
        <f t="shared" si="22"/>
        <v>41532.119999999995</v>
      </c>
      <c r="I217" s="124">
        <f t="shared" si="22"/>
        <v>45244.250000000007</v>
      </c>
      <c r="J217" s="124">
        <f t="shared" si="22"/>
        <v>40739.450000000004</v>
      </c>
      <c r="K217" s="156">
        <f t="shared" ca="1" si="22"/>
        <v>32683.668631211105</v>
      </c>
      <c r="L217" s="156">
        <f t="shared" ca="1" si="22"/>
        <v>35295.754509435508</v>
      </c>
      <c r="M217" s="156">
        <f t="shared" ca="1" si="22"/>
        <v>38575.285448097064</v>
      </c>
      <c r="N217" s="156">
        <f t="shared" ca="1" si="22"/>
        <v>41887.362715922805</v>
      </c>
      <c r="O217" s="156">
        <f t="shared" ca="1" si="22"/>
        <v>45620.611137904874</v>
      </c>
    </row>
    <row r="218" spans="1:15" hidden="1" outlineLevel="1" x14ac:dyDescent="0.25">
      <c r="A218" s="74"/>
      <c r="B218" s="74"/>
      <c r="C218" s="174" t="s">
        <v>106</v>
      </c>
      <c r="D218" s="74"/>
      <c r="E218" s="74"/>
      <c r="F218" s="124">
        <f t="shared" ref="F218:O218" si="23">F217+F206</f>
        <v>53851.930000000008</v>
      </c>
      <c r="G218" s="124">
        <f t="shared" si="23"/>
        <v>64027.56</v>
      </c>
      <c r="H218" s="124">
        <f t="shared" si="23"/>
        <v>81025.299999999988</v>
      </c>
      <c r="I218" s="124">
        <f t="shared" si="23"/>
        <v>64042.740000000005</v>
      </c>
      <c r="J218" s="124">
        <f t="shared" si="23"/>
        <v>58242.010000000009</v>
      </c>
      <c r="K218" s="156">
        <f t="shared" ca="1" si="23"/>
        <v>49186.985517237503</v>
      </c>
      <c r="L218" s="156">
        <f t="shared" ca="1" si="23"/>
        <v>51826.561264933953</v>
      </c>
      <c r="M218" s="156">
        <f t="shared" ca="1" si="23"/>
        <v>55599.945608531852</v>
      </c>
      <c r="N218" s="156">
        <f t="shared" ca="1" si="23"/>
        <v>60124.330630466531</v>
      </c>
      <c r="O218" s="156">
        <f t="shared" ca="1" si="23"/>
        <v>65480.12956612937</v>
      </c>
    </row>
    <row r="219" spans="1:15" ht="15.75" hidden="1" outlineLevel="1" thickBot="1" x14ac:dyDescent="0.3">
      <c r="A219" s="163"/>
      <c r="B219" s="163"/>
      <c r="C219" s="175" t="s">
        <v>107</v>
      </c>
      <c r="D219" s="163"/>
      <c r="E219" s="163"/>
      <c r="F219" s="165">
        <f t="shared" ref="F219:O219" si="24">F218+F199</f>
        <v>95818.900000000009</v>
      </c>
      <c r="G219" s="165">
        <f t="shared" si="24"/>
        <v>116182.43</v>
      </c>
      <c r="H219" s="165">
        <f t="shared" si="24"/>
        <v>151871.83000000002</v>
      </c>
      <c r="I219" s="165">
        <f t="shared" si="24"/>
        <v>231439.09999999998</v>
      </c>
      <c r="J219" s="165">
        <f t="shared" si="24"/>
        <v>255651.56000000003</v>
      </c>
      <c r="K219" s="166">
        <f t="shared" ca="1" si="24"/>
        <v>272524.46753505128</v>
      </c>
      <c r="L219" s="166">
        <f t="shared" ca="1" si="24"/>
        <v>305977.891505368</v>
      </c>
      <c r="M219" s="166">
        <f t="shared" ca="1" si="24"/>
        <v>346428.94896032172</v>
      </c>
      <c r="N219" s="166">
        <f t="shared" ca="1" si="24"/>
        <v>394096.68027308508</v>
      </c>
      <c r="O219" s="166">
        <f t="shared" ca="1" si="24"/>
        <v>449483.31660337828</v>
      </c>
    </row>
    <row r="220" spans="1:15" hidden="1" outlineLevel="1" x14ac:dyDescent="0.25">
      <c r="A220" s="71"/>
      <c r="B220" s="71"/>
      <c r="C220" s="71"/>
      <c r="D220" s="71"/>
      <c r="E220" s="71"/>
      <c r="F220" s="123"/>
      <c r="G220" s="123"/>
      <c r="H220" s="123"/>
      <c r="I220" s="123"/>
      <c r="J220" s="123"/>
      <c r="K220" s="160"/>
      <c r="L220" s="160"/>
      <c r="M220" s="160"/>
      <c r="N220" s="160"/>
      <c r="O220" s="160"/>
    </row>
    <row r="221" spans="1:15" hidden="1" outlineLevel="1" x14ac:dyDescent="0.25">
      <c r="A221" s="71"/>
      <c r="B221" s="71"/>
      <c r="C221" s="71"/>
      <c r="D221" s="71"/>
      <c r="E221" s="71"/>
      <c r="F221" s="123"/>
      <c r="G221" s="123"/>
      <c r="H221" s="123"/>
      <c r="I221" s="123"/>
      <c r="J221" s="123"/>
      <c r="K221" s="160">
        <f ca="1">K191-K219</f>
        <v>0</v>
      </c>
      <c r="L221" s="160">
        <f ca="1">L191-L219</f>
        <v>0</v>
      </c>
      <c r="M221" s="160">
        <f ca="1">M191-M219</f>
        <v>0</v>
      </c>
      <c r="N221" s="160">
        <f ca="1">N191-N219</f>
        <v>0</v>
      </c>
      <c r="O221" s="160">
        <f ca="1">O191-O219</f>
        <v>0</v>
      </c>
    </row>
    <row r="222" spans="1:15" collapsed="1" x14ac:dyDescent="0.25">
      <c r="A222" s="71"/>
      <c r="B222" s="71"/>
      <c r="C222" s="71"/>
      <c r="D222" s="71"/>
      <c r="E222" s="71"/>
      <c r="F222" s="123"/>
      <c r="G222" s="123"/>
      <c r="H222" s="123"/>
      <c r="I222" s="123"/>
      <c r="J222" s="123"/>
      <c r="K222" s="160"/>
      <c r="L222" s="160"/>
      <c r="M222" s="160"/>
      <c r="N222" s="160"/>
      <c r="O222" s="160"/>
    </row>
    <row r="223" spans="1:15" ht="25.5" x14ac:dyDescent="0.35">
      <c r="A223" s="142" t="s">
        <v>109</v>
      </c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5"/>
    </row>
    <row r="224" spans="1:15" hidden="1" outlineLevel="1" x14ac:dyDescent="0.25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</row>
    <row r="225" spans="1:15" hidden="1" outlineLevel="1" x14ac:dyDescent="0.25">
      <c r="A225" s="144" t="s">
        <v>110</v>
      </c>
      <c r="B225" s="86"/>
      <c r="C225" s="86"/>
      <c r="D225" s="86"/>
      <c r="E225" s="86"/>
      <c r="F225" s="145">
        <f>G225-1</f>
        <v>2021</v>
      </c>
      <c r="G225" s="145">
        <f>H225-1</f>
        <v>2022</v>
      </c>
      <c r="H225" s="145">
        <f>I225-1</f>
        <v>2023</v>
      </c>
      <c r="I225" s="145">
        <f>J225-1</f>
        <v>2024</v>
      </c>
      <c r="J225" s="145">
        <f>K225-1</f>
        <v>2025</v>
      </c>
      <c r="K225" s="146">
        <f>K$82</f>
        <v>2026</v>
      </c>
      <c r="L225" s="146">
        <f>L$82</f>
        <v>2027</v>
      </c>
      <c r="M225" s="146">
        <f>M$82</f>
        <v>2028</v>
      </c>
      <c r="N225" s="146">
        <f>N$82</f>
        <v>2029</v>
      </c>
      <c r="O225" s="146">
        <f>O$82</f>
        <v>2030</v>
      </c>
    </row>
    <row r="226" spans="1:15" hidden="1" outlineLevel="1" x14ac:dyDescent="0.25">
      <c r="A226" s="71"/>
      <c r="B226" s="71"/>
      <c r="C226" s="71"/>
      <c r="D226" s="71"/>
      <c r="E226" s="71"/>
      <c r="F226" s="123"/>
      <c r="G226" s="123"/>
      <c r="H226" s="123"/>
      <c r="I226" s="123"/>
      <c r="J226" s="123"/>
      <c r="K226" s="148"/>
      <c r="L226" s="148"/>
      <c r="M226" s="148"/>
      <c r="N226" s="148"/>
      <c r="O226" s="148"/>
    </row>
    <row r="227" spans="1:15" hidden="1" outlineLevel="1" x14ac:dyDescent="0.25">
      <c r="A227" s="71"/>
      <c r="B227" s="72" t="s">
        <v>112</v>
      </c>
      <c r="C227" s="71"/>
      <c r="D227" s="71"/>
      <c r="E227" s="71"/>
      <c r="F227" s="123"/>
      <c r="G227" s="123"/>
      <c r="H227" s="123"/>
      <c r="I227" s="123"/>
      <c r="J227" s="123"/>
      <c r="K227" s="148"/>
      <c r="L227" s="148"/>
      <c r="M227" s="148"/>
      <c r="N227" s="148"/>
      <c r="O227" s="148"/>
    </row>
    <row r="228" spans="1:15" hidden="1" outlineLevel="1" x14ac:dyDescent="0.25">
      <c r="A228" s="71"/>
      <c r="B228" s="71"/>
      <c r="C228" s="71" t="s">
        <v>113</v>
      </c>
      <c r="D228" s="71"/>
      <c r="E228" s="71"/>
      <c r="F228" s="149">
        <v>454</v>
      </c>
      <c r="G228" s="149">
        <v>653</v>
      </c>
      <c r="H228" s="149">
        <v>737</v>
      </c>
      <c r="I228" s="149">
        <v>821</v>
      </c>
      <c r="J228" s="149">
        <v>839</v>
      </c>
      <c r="K228" s="148">
        <f>J228*(1+K10)</f>
        <v>931.29000000000008</v>
      </c>
      <c r="L228" s="148">
        <f>K228*(1+L10)</f>
        <v>1024.4190000000001</v>
      </c>
      <c r="M228" s="148">
        <f>L228*(1+M10)</f>
        <v>1116.6167100000002</v>
      </c>
      <c r="N228" s="148">
        <f>M228*(1+N10)</f>
        <v>1205.9460468000004</v>
      </c>
      <c r="O228" s="148">
        <f>N228*(1+O10)</f>
        <v>1290.3622700760006</v>
      </c>
    </row>
    <row r="229" spans="1:15" hidden="1" outlineLevel="1" x14ac:dyDescent="0.25">
      <c r="A229" s="71"/>
      <c r="B229" s="71"/>
      <c r="C229" s="71" t="s">
        <v>7</v>
      </c>
      <c r="D229" s="71"/>
      <c r="E229" s="71"/>
      <c r="F229" s="151">
        <v>115</v>
      </c>
      <c r="G229" s="151">
        <v>149</v>
      </c>
      <c r="H229" s="151">
        <v>176</v>
      </c>
      <c r="I229" s="151">
        <v>303</v>
      </c>
      <c r="J229" s="151">
        <v>374</v>
      </c>
      <c r="K229" s="152">
        <f>J229*(1+K40)</f>
        <v>486.2</v>
      </c>
      <c r="L229" s="152">
        <f>K229*(1+L40)</f>
        <v>559.13</v>
      </c>
      <c r="M229" s="152">
        <f>L229*(1+M40)</f>
        <v>637.40820000000008</v>
      </c>
      <c r="N229" s="152">
        <f>M229*(1+N40)</f>
        <v>720.27126599999997</v>
      </c>
      <c r="O229" s="152">
        <f>N229*(1+O40)</f>
        <v>806.70381792000001</v>
      </c>
    </row>
    <row r="230" spans="1:15" hidden="1" outlineLevel="1" x14ac:dyDescent="0.25">
      <c r="A230" s="139"/>
      <c r="B230" s="139" t="s">
        <v>114</v>
      </c>
      <c r="C230" s="139"/>
      <c r="D230" s="139"/>
      <c r="E230" s="139"/>
      <c r="F230" s="123">
        <f>F228+F229</f>
        <v>569</v>
      </c>
      <c r="G230" s="123">
        <f t="shared" ref="G230:O230" si="25">G228+G229</f>
        <v>802</v>
      </c>
      <c r="H230" s="123">
        <f t="shared" si="25"/>
        <v>913</v>
      </c>
      <c r="I230" s="123">
        <f t="shared" si="25"/>
        <v>1124</v>
      </c>
      <c r="J230" s="123">
        <f t="shared" si="25"/>
        <v>1213</v>
      </c>
      <c r="K230" s="148">
        <f t="shared" si="25"/>
        <v>1417.49</v>
      </c>
      <c r="L230" s="148">
        <f t="shared" si="25"/>
        <v>1583.549</v>
      </c>
      <c r="M230" s="148">
        <f t="shared" si="25"/>
        <v>1754.0249100000003</v>
      </c>
      <c r="N230" s="148">
        <f t="shared" si="25"/>
        <v>1926.2173128000004</v>
      </c>
      <c r="O230" s="148">
        <f t="shared" si="25"/>
        <v>2097.0660879960005</v>
      </c>
    </row>
    <row r="231" spans="1:15" hidden="1" outlineLevel="1" x14ac:dyDescent="0.25">
      <c r="A231" s="71"/>
      <c r="B231" s="71"/>
      <c r="C231" s="71"/>
      <c r="D231" s="71"/>
      <c r="E231" s="71"/>
      <c r="F231" s="123"/>
      <c r="G231" s="123"/>
      <c r="H231" s="123"/>
      <c r="I231" s="123"/>
      <c r="J231" s="123"/>
      <c r="K231" s="148"/>
      <c r="L231" s="148"/>
      <c r="M231" s="148"/>
      <c r="N231" s="148"/>
      <c r="O231" s="148"/>
    </row>
    <row r="232" spans="1:15" hidden="1" outlineLevel="1" x14ac:dyDescent="0.25">
      <c r="A232" s="71"/>
      <c r="B232" s="72" t="s">
        <v>120</v>
      </c>
      <c r="C232" s="71"/>
      <c r="D232" s="71"/>
      <c r="E232" s="71"/>
      <c r="F232" s="71"/>
      <c r="G232" s="71"/>
      <c r="H232" s="71"/>
      <c r="I232" s="71"/>
      <c r="J232" s="71"/>
      <c r="K232" s="147"/>
      <c r="L232" s="147"/>
      <c r="M232" s="147"/>
      <c r="N232" s="147"/>
      <c r="O232" s="147"/>
    </row>
    <row r="233" spans="1:15" hidden="1" outlineLevel="1" x14ac:dyDescent="0.25">
      <c r="A233" s="71"/>
      <c r="B233" s="71"/>
      <c r="C233" s="71" t="s">
        <v>121</v>
      </c>
      <c r="D233" s="71"/>
      <c r="E233" s="71"/>
      <c r="F233" s="149">
        <v>65957.42</v>
      </c>
      <c r="G233" s="149">
        <v>105958.25</v>
      </c>
      <c r="H233" s="149">
        <v>126328.26</v>
      </c>
      <c r="I233" s="149">
        <v>143486</v>
      </c>
      <c r="J233" s="149">
        <v>145568.22</v>
      </c>
      <c r="K233" s="147"/>
      <c r="L233" s="147"/>
      <c r="M233" s="147"/>
      <c r="N233" s="147"/>
      <c r="O233" s="147"/>
    </row>
    <row r="234" spans="1:15" hidden="1" outlineLevel="1" x14ac:dyDescent="0.25">
      <c r="A234" s="71"/>
      <c r="B234" s="71"/>
      <c r="C234" s="71" t="s">
        <v>126</v>
      </c>
      <c r="D234" s="71"/>
      <c r="E234" s="71"/>
      <c r="F234" s="171">
        <v>22274.880000000001</v>
      </c>
      <c r="G234" s="171">
        <v>25773.17</v>
      </c>
      <c r="H234" s="171">
        <v>34097.550000000003</v>
      </c>
      <c r="I234" s="171">
        <v>56590.5</v>
      </c>
      <c r="J234" s="171">
        <v>71285.570000000007</v>
      </c>
      <c r="K234" s="147"/>
      <c r="L234" s="147"/>
      <c r="M234" s="147"/>
      <c r="N234" s="147"/>
      <c r="O234" s="147"/>
    </row>
    <row r="235" spans="1:15" hidden="1" outlineLevel="1" x14ac:dyDescent="0.25">
      <c r="A235" s="139"/>
      <c r="B235" s="139"/>
      <c r="C235" s="139" t="s">
        <v>129</v>
      </c>
      <c r="D235" s="139"/>
      <c r="E235" s="139"/>
      <c r="F235" s="140">
        <f>F233+F234</f>
        <v>88232.3</v>
      </c>
      <c r="G235" s="140">
        <f>G233+G234</f>
        <v>131731.41999999998</v>
      </c>
      <c r="H235" s="140">
        <f>H233+H234</f>
        <v>160425.81</v>
      </c>
      <c r="I235" s="140">
        <f>I233+I234</f>
        <v>200076.5</v>
      </c>
      <c r="J235" s="140">
        <f>J233+J234</f>
        <v>216853.79</v>
      </c>
      <c r="K235" s="178"/>
      <c r="L235" s="178"/>
      <c r="M235" s="178"/>
      <c r="N235" s="178"/>
      <c r="O235" s="178"/>
    </row>
    <row r="236" spans="1:15" hidden="1" outlineLevel="1" x14ac:dyDescent="0.25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147"/>
      <c r="L236" s="147"/>
      <c r="M236" s="147"/>
      <c r="N236" s="147"/>
      <c r="O236" s="147"/>
    </row>
    <row r="237" spans="1:15" hidden="1" outlineLevel="1" x14ac:dyDescent="0.25">
      <c r="A237" s="71"/>
      <c r="B237" s="71"/>
      <c r="C237" s="71" t="s">
        <v>127</v>
      </c>
      <c r="D237" s="71"/>
      <c r="E237" s="71"/>
      <c r="F237" s="179">
        <f t="shared" ref="F237:J238" si="26">F233/F228</f>
        <v>145.28066079295155</v>
      </c>
      <c r="G237" s="179">
        <f t="shared" si="26"/>
        <v>162.26378254211332</v>
      </c>
      <c r="H237" s="179">
        <f t="shared" si="26"/>
        <v>171.40876526458615</v>
      </c>
      <c r="I237" s="179">
        <f t="shared" si="26"/>
        <v>174.76979293544457</v>
      </c>
      <c r="J237" s="179">
        <f t="shared" si="26"/>
        <v>173.50205005959475</v>
      </c>
      <c r="K237" s="180">
        <f>J237*(1+K37)</f>
        <v>174.36956030989271</v>
      </c>
      <c r="L237" s="180">
        <f>K237*(1+L37)</f>
        <v>176.98510371454108</v>
      </c>
      <c r="M237" s="180">
        <f>L237*(1+M37)</f>
        <v>180.52480578883191</v>
      </c>
      <c r="N237" s="180">
        <f>M237*(1+N37)</f>
        <v>185.03792593355269</v>
      </c>
      <c r="O237" s="180">
        <f>N237*(1+O37)</f>
        <v>189.66387408189149</v>
      </c>
    </row>
    <row r="238" spans="1:15" hidden="1" outlineLevel="1" x14ac:dyDescent="0.25">
      <c r="A238" s="71"/>
      <c r="B238" s="71"/>
      <c r="C238" s="71" t="s">
        <v>128</v>
      </c>
      <c r="D238" s="71"/>
      <c r="E238" s="71"/>
      <c r="F238" s="179">
        <f t="shared" si="26"/>
        <v>193.69460869565219</v>
      </c>
      <c r="G238" s="179">
        <f t="shared" si="26"/>
        <v>172.97429530201342</v>
      </c>
      <c r="H238" s="179">
        <f t="shared" si="26"/>
        <v>193.73607954545457</v>
      </c>
      <c r="I238" s="179">
        <f t="shared" si="26"/>
        <v>186.76732673267327</v>
      </c>
      <c r="J238" s="179">
        <f t="shared" si="26"/>
        <v>190.60312834224601</v>
      </c>
      <c r="K238" s="180">
        <f>J238*(1+K41)</f>
        <v>202.03931604278077</v>
      </c>
      <c r="L238" s="180">
        <f>K238*(1+L41)</f>
        <v>207.09029894385026</v>
      </c>
      <c r="M238" s="180">
        <f>L238*(1+M41)</f>
        <v>212.26755641744649</v>
      </c>
      <c r="N238" s="180">
        <f>M238*(1+N41)</f>
        <v>217.57424532788264</v>
      </c>
      <c r="O238" s="180">
        <f>N238*(1+O41)</f>
        <v>223.01360146107967</v>
      </c>
    </row>
    <row r="239" spans="1:15" hidden="1" outlineLevel="1" x14ac:dyDescent="0.25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147"/>
      <c r="L239" s="147"/>
      <c r="M239" s="147"/>
      <c r="N239" s="147"/>
      <c r="O239" s="147"/>
    </row>
    <row r="240" spans="1:15" hidden="1" outlineLevel="1" x14ac:dyDescent="0.25">
      <c r="A240" s="71"/>
      <c r="B240" s="71"/>
      <c r="C240" s="71" t="s">
        <v>287</v>
      </c>
      <c r="D240" s="71"/>
      <c r="E240" s="71"/>
      <c r="F240" s="71"/>
      <c r="G240" s="71"/>
      <c r="H240" s="71"/>
      <c r="I240" s="71"/>
      <c r="J240" s="71"/>
      <c r="K240" s="181">
        <f>K237*K228</f>
        <v>162388.627821</v>
      </c>
      <c r="L240" s="181">
        <f>L237*L228</f>
        <v>181306.90296214647</v>
      </c>
      <c r="M240" s="181">
        <f>M237*M228</f>
        <v>201577.01471331448</v>
      </c>
      <c r="N240" s="181">
        <f>N237*N228</f>
        <v>223145.75528763913</v>
      </c>
      <c r="O240" s="181">
        <f>O237*O228</f>
        <v>244735.10711171824</v>
      </c>
    </row>
    <row r="241" spans="1:15" hidden="1" outlineLevel="1" x14ac:dyDescent="0.25">
      <c r="A241" s="71"/>
      <c r="B241" s="71"/>
      <c r="C241" s="71" t="s">
        <v>288</v>
      </c>
      <c r="D241" s="71"/>
      <c r="E241" s="71"/>
      <c r="F241" s="71"/>
      <c r="G241" s="71"/>
      <c r="H241" s="71"/>
      <c r="I241" s="71"/>
      <c r="J241" s="71"/>
      <c r="K241" s="181">
        <f>K229*K238</f>
        <v>98231.51546000001</v>
      </c>
      <c r="L241" s="181">
        <f>L229*L238</f>
        <v>115790.39884847499</v>
      </c>
      <c r="M241" s="181">
        <f>M229*M238</f>
        <v>135301.08105444303</v>
      </c>
      <c r="N241" s="181">
        <f>N229*N238</f>
        <v>156712.47713130861</v>
      </c>
      <c r="O241" s="181">
        <f>O229*O238</f>
        <v>179905.92374674225</v>
      </c>
    </row>
    <row r="242" spans="1:15" hidden="1" outlineLevel="1" x14ac:dyDescent="0.25">
      <c r="A242" s="139"/>
      <c r="B242" s="139"/>
      <c r="C242" s="162" t="s">
        <v>289</v>
      </c>
      <c r="D242" s="139"/>
      <c r="E242" s="139"/>
      <c r="F242" s="139"/>
      <c r="G242" s="139"/>
      <c r="H242" s="139"/>
      <c r="I242" s="139"/>
      <c r="J242" s="139"/>
      <c r="K242" s="182">
        <f>K240+K241</f>
        <v>260620.14328100003</v>
      </c>
      <c r="L242" s="182">
        <f>L240+L241</f>
        <v>297097.30181062146</v>
      </c>
      <c r="M242" s="182">
        <f>M240+M241</f>
        <v>336878.09576775751</v>
      </c>
      <c r="N242" s="182">
        <f>N240+N241</f>
        <v>379858.23241894774</v>
      </c>
      <c r="O242" s="182">
        <f>O240+O241</f>
        <v>424641.03085846046</v>
      </c>
    </row>
    <row r="243" spans="1:15" hidden="1" outlineLevel="1" x14ac:dyDescent="0.25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147"/>
      <c r="L243" s="147"/>
      <c r="M243" s="147"/>
      <c r="N243" s="147"/>
      <c r="O243" s="147"/>
    </row>
    <row r="244" spans="1:15" hidden="1" outlineLevel="1" x14ac:dyDescent="0.25">
      <c r="A244" s="71"/>
      <c r="B244" s="71"/>
      <c r="C244" s="71" t="s">
        <v>83</v>
      </c>
      <c r="D244" s="71"/>
      <c r="E244" s="71"/>
      <c r="F244" s="183">
        <f>-F86</f>
        <v>1350.61</v>
      </c>
      <c r="G244" s="183">
        <f>-G86</f>
        <v>2174.16</v>
      </c>
      <c r="H244" s="183">
        <f>-H86</f>
        <v>2784.82</v>
      </c>
      <c r="I244" s="183">
        <f>-I86</f>
        <v>4736.78</v>
      </c>
      <c r="J244" s="183">
        <f>-J86</f>
        <v>5402.05</v>
      </c>
      <c r="K244" s="181">
        <f>K241*K42</f>
        <v>7586.3524350354501</v>
      </c>
      <c r="L244" s="181">
        <f>L241*L42</f>
        <v>8942.4129327980354</v>
      </c>
      <c r="M244" s="181">
        <f>M241*M42</f>
        <v>10449.209511974504</v>
      </c>
      <c r="N244" s="181">
        <f>N241*N42</f>
        <v>12102.796917244468</v>
      </c>
      <c r="O244" s="181">
        <f>O241*O42</f>
        <v>13894.010860996646</v>
      </c>
    </row>
    <row r="245" spans="1:15" hidden="1" outlineLevel="1" x14ac:dyDescent="0.25">
      <c r="A245" s="71"/>
      <c r="B245" s="71"/>
      <c r="C245" s="71" t="s">
        <v>130</v>
      </c>
      <c r="D245" s="71"/>
      <c r="E245" s="71"/>
      <c r="F245" s="184">
        <f>F244/F234</f>
        <v>6.0633772213363205E-2</v>
      </c>
      <c r="G245" s="184">
        <f>G244/G234</f>
        <v>8.4357492694922667E-2</v>
      </c>
      <c r="H245" s="184">
        <f>H244/H234</f>
        <v>8.1672143599760091E-2</v>
      </c>
      <c r="I245" s="184">
        <f>I244/I234</f>
        <v>8.3702741626244678E-2</v>
      </c>
      <c r="J245" s="184">
        <f>J244/J234</f>
        <v>7.5780413904244573E-2</v>
      </c>
      <c r="K245" s="147"/>
      <c r="L245" s="147"/>
      <c r="M245" s="147"/>
      <c r="N245" s="147"/>
      <c r="O245" s="147"/>
    </row>
    <row r="246" spans="1:15" hidden="1" outlineLevel="1" x14ac:dyDescent="0.25">
      <c r="A246" s="71"/>
      <c r="B246" s="71"/>
      <c r="C246" s="71" t="s">
        <v>131</v>
      </c>
      <c r="D246" s="71"/>
      <c r="E246" s="71"/>
      <c r="F246" s="71"/>
      <c r="G246" s="71"/>
      <c r="H246" s="71"/>
      <c r="I246" s="71"/>
      <c r="J246" s="122">
        <f>AVERAGE(F245:J245)</f>
        <v>7.7229312807707035E-2</v>
      </c>
      <c r="K246" s="147"/>
      <c r="L246" s="147"/>
      <c r="M246" s="147"/>
      <c r="N246" s="147"/>
      <c r="O246" s="147"/>
    </row>
    <row r="247" spans="1:15" hidden="1" outlineLevel="1" x14ac:dyDescent="0.25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185"/>
      <c r="L247" s="185"/>
      <c r="M247" s="185"/>
      <c r="N247" s="185"/>
      <c r="O247" s="185"/>
    </row>
    <row r="248" spans="1:15" hidden="1" outlineLevel="1" x14ac:dyDescent="0.25">
      <c r="B248" s="56"/>
      <c r="C248" s="56"/>
      <c r="D248" s="56"/>
      <c r="E248" s="56"/>
      <c r="F248" s="56"/>
      <c r="G248" s="56"/>
      <c r="H248" s="56"/>
      <c r="I248" s="56"/>
      <c r="J248" s="56"/>
      <c r="K248" s="67"/>
      <c r="L248" s="67"/>
      <c r="M248" s="67"/>
      <c r="N248" s="67"/>
      <c r="O248" s="67"/>
    </row>
    <row r="249" spans="1:15" collapsed="1" x14ac:dyDescent="0.25">
      <c r="B249" s="56"/>
      <c r="C249" s="56"/>
      <c r="D249" s="56"/>
      <c r="E249" s="56"/>
      <c r="F249" s="56"/>
      <c r="G249" s="56"/>
      <c r="H249" s="56"/>
      <c r="I249" s="56"/>
      <c r="J249" s="56"/>
      <c r="K249" s="67"/>
      <c r="L249" s="67"/>
      <c r="M249" s="67"/>
      <c r="N249" s="67"/>
      <c r="O249" s="67"/>
    </row>
    <row r="250" spans="1:15" ht="25.5" x14ac:dyDescent="0.35">
      <c r="A250" s="142" t="s">
        <v>133</v>
      </c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5"/>
    </row>
    <row r="251" spans="1:15" hidden="1" outlineLevel="1" x14ac:dyDescent="0.25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</row>
    <row r="252" spans="1:15" hidden="1" outlineLevel="1" x14ac:dyDescent="0.25">
      <c r="A252" s="144" t="s">
        <v>134</v>
      </c>
      <c r="B252" s="86"/>
      <c r="C252" s="86"/>
      <c r="D252" s="86"/>
      <c r="E252" s="86"/>
      <c r="F252" s="145">
        <f>G252-1</f>
        <v>2021</v>
      </c>
      <c r="G252" s="145">
        <f>H252-1</f>
        <v>2022</v>
      </c>
      <c r="H252" s="145">
        <f>I252-1</f>
        <v>2023</v>
      </c>
      <c r="I252" s="145">
        <f>J252-1</f>
        <v>2024</v>
      </c>
      <c r="J252" s="145">
        <f>K252-1</f>
        <v>2025</v>
      </c>
      <c r="K252" s="146">
        <f>K$82</f>
        <v>2026</v>
      </c>
      <c r="L252" s="146">
        <f>L$82</f>
        <v>2027</v>
      </c>
      <c r="M252" s="146">
        <f>M$82</f>
        <v>2028</v>
      </c>
      <c r="N252" s="146">
        <f>N$82</f>
        <v>2029</v>
      </c>
      <c r="O252" s="146">
        <f>O$82</f>
        <v>2030</v>
      </c>
    </row>
    <row r="253" spans="1:15" hidden="1" outlineLevel="1" x14ac:dyDescent="0.25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147"/>
      <c r="L253" s="147"/>
      <c r="M253" s="147"/>
      <c r="N253" s="147"/>
      <c r="O253" s="147"/>
    </row>
    <row r="254" spans="1:15" hidden="1" outlineLevel="1" x14ac:dyDescent="0.25">
      <c r="A254" s="71"/>
      <c r="B254" s="71"/>
      <c r="C254" s="71" t="s">
        <v>10</v>
      </c>
      <c r="D254" s="71"/>
      <c r="E254" s="71"/>
      <c r="F254" s="183">
        <f t="shared" ref="F254:O254" si="27">F87</f>
        <v>88232.3</v>
      </c>
      <c r="G254" s="183">
        <f t="shared" si="27"/>
        <v>131731.41999999998</v>
      </c>
      <c r="H254" s="183">
        <f t="shared" si="27"/>
        <v>160425.81</v>
      </c>
      <c r="I254" s="183">
        <f t="shared" si="27"/>
        <v>200076.5</v>
      </c>
      <c r="J254" s="183">
        <f t="shared" si="27"/>
        <v>216853.79</v>
      </c>
      <c r="K254" s="181">
        <f t="shared" si="27"/>
        <v>260620.14328100003</v>
      </c>
      <c r="L254" s="181">
        <f t="shared" si="27"/>
        <v>297097.30181062146</v>
      </c>
      <c r="M254" s="181">
        <f t="shared" si="27"/>
        <v>336878.09576775751</v>
      </c>
      <c r="N254" s="181">
        <f t="shared" si="27"/>
        <v>379858.23241894774</v>
      </c>
      <c r="O254" s="181">
        <f t="shared" si="27"/>
        <v>424641.03085846046</v>
      </c>
    </row>
    <row r="255" spans="1:15" hidden="1" outlineLevel="1" x14ac:dyDescent="0.25">
      <c r="A255" s="71"/>
      <c r="B255" s="71"/>
      <c r="C255" s="71" t="s">
        <v>85</v>
      </c>
      <c r="D255" s="71"/>
      <c r="E255" s="71"/>
      <c r="F255" s="183">
        <f>F91</f>
        <v>39689.129999999997</v>
      </c>
      <c r="G255" s="183">
        <f>G91</f>
        <v>64170.92</v>
      </c>
      <c r="H255" s="183">
        <f>H91</f>
        <v>70264.61</v>
      </c>
      <c r="I255" s="183">
        <f>I91</f>
        <v>82937.429999999993</v>
      </c>
      <c r="J255" s="183">
        <f>J91</f>
        <v>93370.62</v>
      </c>
      <c r="K255" s="147"/>
      <c r="L255" s="147"/>
      <c r="M255" s="147"/>
      <c r="N255" s="147"/>
      <c r="O255" s="147"/>
    </row>
    <row r="256" spans="1:15" hidden="1" outlineLevel="1" x14ac:dyDescent="0.25">
      <c r="A256" s="71"/>
      <c r="B256" s="71"/>
      <c r="C256" s="71"/>
      <c r="D256" s="71"/>
      <c r="E256" s="71"/>
      <c r="F256" s="183"/>
      <c r="G256" s="183"/>
      <c r="H256" s="183"/>
      <c r="I256" s="183"/>
      <c r="J256" s="183"/>
      <c r="K256" s="147"/>
      <c r="L256" s="147"/>
      <c r="M256" s="147"/>
      <c r="N256" s="147"/>
      <c r="O256" s="147"/>
    </row>
    <row r="257" spans="1:15" hidden="1" outlineLevel="1" x14ac:dyDescent="0.25">
      <c r="A257" s="71"/>
      <c r="B257" s="71"/>
      <c r="C257" s="71" t="s">
        <v>135</v>
      </c>
      <c r="D257" s="71"/>
      <c r="E257" s="71"/>
      <c r="F257" s="184">
        <f>F255/F254</f>
        <v>0.44982540407537824</v>
      </c>
      <c r="G257" s="184">
        <f>G255/G254</f>
        <v>0.48713450443333872</v>
      </c>
      <c r="H257" s="184">
        <f>H255/H254</f>
        <v>0.43798818905760861</v>
      </c>
      <c r="I257" s="184">
        <f>I255/I254</f>
        <v>0.41452859281324889</v>
      </c>
      <c r="J257" s="184">
        <f>J255/J254</f>
        <v>0.43056946341588032</v>
      </c>
      <c r="K257" s="147"/>
      <c r="L257" s="147"/>
      <c r="M257" s="147"/>
      <c r="N257" s="147"/>
      <c r="O257" s="147"/>
    </row>
    <row r="258" spans="1:15" hidden="1" outlineLevel="1" x14ac:dyDescent="0.25">
      <c r="A258" s="86"/>
      <c r="B258" s="86"/>
      <c r="C258" s="86" t="s">
        <v>136</v>
      </c>
      <c r="D258" s="86"/>
      <c r="E258" s="86"/>
      <c r="F258" s="86"/>
      <c r="G258" s="86"/>
      <c r="H258" s="86"/>
      <c r="I258" s="86"/>
      <c r="J258" s="112">
        <f>AVERAGE(F257:J257)</f>
        <v>0.44400923075909093</v>
      </c>
      <c r="K258" s="186"/>
      <c r="L258" s="186"/>
      <c r="M258" s="186"/>
      <c r="N258" s="186"/>
      <c r="O258" s="186"/>
    </row>
    <row r="259" spans="1:15" hidden="1" outlineLevel="1" x14ac:dyDescent="0.25">
      <c r="A259" s="71"/>
      <c r="B259" s="71"/>
      <c r="C259" s="72" t="s">
        <v>141</v>
      </c>
      <c r="D259" s="71"/>
      <c r="E259" s="71"/>
      <c r="F259" s="71"/>
      <c r="G259" s="71"/>
      <c r="H259" s="71"/>
      <c r="I259" s="71"/>
      <c r="J259" s="71"/>
      <c r="K259" s="181">
        <f>K254*$J$258</f>
        <v>115717.74933852088</v>
      </c>
      <c r="L259" s="181">
        <f>L254*$J$258</f>
        <v>131913.94443753551</v>
      </c>
      <c r="M259" s="181">
        <f>M254*$J$258</f>
        <v>149576.98416142937</v>
      </c>
      <c r="N259" s="181">
        <f>N254*$J$258</f>
        <v>168660.56157384496</v>
      </c>
      <c r="O259" s="181">
        <f>O254*$J$258</f>
        <v>188544.53746021242</v>
      </c>
    </row>
    <row r="260" spans="1:15" hidden="1" outlineLevel="1" x14ac:dyDescent="0.25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147"/>
      <c r="L260" s="147"/>
      <c r="M260" s="147"/>
      <c r="N260" s="147"/>
      <c r="O260" s="147"/>
    </row>
    <row r="261" spans="1:15" hidden="1" outlineLevel="1" x14ac:dyDescent="0.25">
      <c r="A261" s="71"/>
      <c r="B261" s="71"/>
      <c r="C261" s="71" t="s">
        <v>90</v>
      </c>
      <c r="D261" s="71"/>
      <c r="E261" s="71"/>
      <c r="F261" s="183">
        <f>F97</f>
        <v>21262.26</v>
      </c>
      <c r="G261" s="183">
        <f>G97</f>
        <v>29072.39</v>
      </c>
      <c r="H261" s="183">
        <f>H97</f>
        <v>35816.21</v>
      </c>
      <c r="I261" s="183">
        <f>I97</f>
        <v>45068.29</v>
      </c>
      <c r="J261" s="183">
        <f>J97</f>
        <v>47198.38</v>
      </c>
      <c r="K261" s="147"/>
      <c r="L261" s="147"/>
      <c r="M261" s="147"/>
      <c r="N261" s="147"/>
      <c r="O261" s="147"/>
    </row>
    <row r="262" spans="1:15" hidden="1" outlineLevel="1" x14ac:dyDescent="0.25">
      <c r="A262" s="71"/>
      <c r="B262" s="71"/>
      <c r="C262" s="71" t="s">
        <v>139</v>
      </c>
      <c r="D262" s="71"/>
      <c r="E262" s="71"/>
      <c r="F262" s="184">
        <f>F261/F254</f>
        <v>0.24098045727018333</v>
      </c>
      <c r="G262" s="184">
        <f>G261/G254</f>
        <v>0.22069442506578918</v>
      </c>
      <c r="H262" s="184">
        <f>H261/H254</f>
        <v>0.22325715544150906</v>
      </c>
      <c r="I262" s="184">
        <f>I261/I254</f>
        <v>0.22525528985163176</v>
      </c>
      <c r="J262" s="184">
        <f>J261/J254</f>
        <v>0.21765070372991865</v>
      </c>
      <c r="K262" s="147"/>
      <c r="L262" s="147"/>
      <c r="M262" s="147"/>
      <c r="N262" s="147"/>
      <c r="O262" s="147"/>
    </row>
    <row r="263" spans="1:15" hidden="1" outlineLevel="1" x14ac:dyDescent="0.25">
      <c r="A263" s="71"/>
      <c r="B263" s="71"/>
      <c r="C263" s="71" t="s">
        <v>140</v>
      </c>
      <c r="D263" s="71"/>
      <c r="E263" s="71"/>
      <c r="F263" s="71"/>
      <c r="G263" s="71"/>
      <c r="H263" s="71"/>
      <c r="I263" s="71"/>
      <c r="J263" s="122">
        <f>AVERAGE(F262:J262)</f>
        <v>0.22556760627180639</v>
      </c>
      <c r="K263" s="147"/>
      <c r="L263" s="147"/>
      <c r="M263" s="147"/>
      <c r="N263" s="147"/>
      <c r="O263" s="147"/>
    </row>
    <row r="264" spans="1:15" hidden="1" outlineLevel="1" x14ac:dyDescent="0.25">
      <c r="A264" s="139"/>
      <c r="B264" s="139"/>
      <c r="C264" s="162" t="s">
        <v>142</v>
      </c>
      <c r="D264" s="139"/>
      <c r="E264" s="139"/>
      <c r="F264" s="139"/>
      <c r="G264" s="139"/>
      <c r="H264" s="139"/>
      <c r="I264" s="139"/>
      <c r="J264" s="139"/>
      <c r="K264" s="182">
        <f>K254*$J$263</f>
        <v>58787.461866110381</v>
      </c>
      <c r="L264" s="182">
        <f>L254*$J$263</f>
        <v>67015.52719923429</v>
      </c>
      <c r="M264" s="182">
        <f>M254*$J$263</f>
        <v>75988.785667737407</v>
      </c>
      <c r="N264" s="182">
        <f>N254*$J$263</f>
        <v>85683.712209381527</v>
      </c>
      <c r="O264" s="182">
        <f>O254*$J$263</f>
        <v>95785.260855535191</v>
      </c>
    </row>
    <row r="265" spans="1:15" hidden="1" outlineLevel="1" x14ac:dyDescent="0.2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147"/>
      <c r="L265" s="147"/>
      <c r="M265" s="147"/>
      <c r="N265" s="147"/>
      <c r="O265" s="147"/>
    </row>
    <row r="266" spans="1:15" hidden="1" outlineLevel="1" x14ac:dyDescent="0.25">
      <c r="A266" s="71"/>
      <c r="B266" s="71"/>
      <c r="C266" s="71" t="s">
        <v>88</v>
      </c>
      <c r="D266" s="71"/>
      <c r="E266" s="71"/>
      <c r="F266" s="183">
        <f>F94</f>
        <v>10076.99</v>
      </c>
      <c r="G266" s="183">
        <f>G94</f>
        <v>12166.42</v>
      </c>
      <c r="H266" s="183">
        <f>H94</f>
        <v>14465.87</v>
      </c>
      <c r="I266" s="183">
        <f>I94</f>
        <v>18850.259999999998</v>
      </c>
      <c r="J266" s="183">
        <f>J94</f>
        <v>22007.43</v>
      </c>
      <c r="K266" s="147"/>
      <c r="L266" s="147"/>
      <c r="M266" s="147"/>
      <c r="N266" s="147"/>
      <c r="O266" s="147"/>
    </row>
    <row r="267" spans="1:15" hidden="1" outlineLevel="1" x14ac:dyDescent="0.25">
      <c r="A267" s="71"/>
      <c r="B267" s="71"/>
      <c r="C267" s="71" t="s">
        <v>139</v>
      </c>
      <c r="D267" s="71"/>
      <c r="E267" s="71"/>
      <c r="F267" s="184">
        <f>F266/F254</f>
        <v>0.11420976218459679</v>
      </c>
      <c r="G267" s="184">
        <f>G266/G254</f>
        <v>9.2357768556658698E-2</v>
      </c>
      <c r="H267" s="184">
        <f>H266/H254</f>
        <v>9.0171712394657696E-2</v>
      </c>
      <c r="I267" s="184">
        <f>I266/I254</f>
        <v>9.4215262662031771E-2</v>
      </c>
      <c r="J267" s="184">
        <f>J266/J254</f>
        <v>0.10148510662414523</v>
      </c>
      <c r="K267" s="147"/>
      <c r="L267" s="147"/>
      <c r="M267" s="147"/>
      <c r="N267" s="147"/>
      <c r="O267" s="147"/>
    </row>
    <row r="268" spans="1:15" hidden="1" outlineLevel="1" x14ac:dyDescent="0.25">
      <c r="A268" s="86"/>
      <c r="B268" s="86"/>
      <c r="C268" s="86" t="s">
        <v>140</v>
      </c>
      <c r="D268" s="86"/>
      <c r="E268" s="86"/>
      <c r="F268" s="86"/>
      <c r="G268" s="86"/>
      <c r="H268" s="86"/>
      <c r="I268" s="86"/>
      <c r="J268" s="112">
        <f>AVERAGE(F267:J267)</f>
        <v>9.8487922484418039E-2</v>
      </c>
      <c r="K268" s="186"/>
      <c r="L268" s="186"/>
      <c r="M268" s="186"/>
      <c r="N268" s="186"/>
      <c r="O268" s="186"/>
    </row>
    <row r="269" spans="1:15" hidden="1" outlineLevel="1" x14ac:dyDescent="0.25">
      <c r="A269" s="71"/>
      <c r="B269" s="71"/>
      <c r="C269" s="187" t="s">
        <v>143</v>
      </c>
      <c r="D269" s="71"/>
      <c r="E269" s="71"/>
      <c r="F269" s="71"/>
      <c r="G269" s="71"/>
      <c r="H269" s="71"/>
      <c r="I269" s="71"/>
      <c r="J269" s="71"/>
      <c r="K269" s="181">
        <f>K254*$J$268</f>
        <v>25667.936469337052</v>
      </c>
      <c r="L269" s="181">
        <f>L254*$J$268</f>
        <v>29260.496031054237</v>
      </c>
      <c r="M269" s="181">
        <f>M254*$J$268</f>
        <v>33178.423782673257</v>
      </c>
      <c r="N269" s="181">
        <f>N254*$J$268</f>
        <v>37411.448149545373</v>
      </c>
      <c r="O269" s="181">
        <f>O254*$J$268</f>
        <v>41822.012930891426</v>
      </c>
    </row>
    <row r="270" spans="1:15" hidden="1" outlineLevel="1" x14ac:dyDescent="0.25">
      <c r="A270" s="71"/>
      <c r="B270" s="71"/>
      <c r="C270" s="127"/>
      <c r="D270" s="71"/>
      <c r="E270" s="71"/>
      <c r="F270" s="71"/>
      <c r="G270" s="71"/>
      <c r="H270" s="71"/>
      <c r="I270" s="71"/>
      <c r="J270" s="71"/>
      <c r="K270" s="181"/>
      <c r="L270" s="181"/>
      <c r="M270" s="181"/>
      <c r="N270" s="181"/>
      <c r="O270" s="181"/>
    </row>
    <row r="271" spans="1:15" hidden="1" outlineLevel="1" x14ac:dyDescent="0.25">
      <c r="A271" s="71"/>
      <c r="B271" s="71"/>
      <c r="C271" s="127" t="s">
        <v>86</v>
      </c>
      <c r="D271" s="71"/>
      <c r="E271" s="71"/>
      <c r="F271" s="183">
        <f>F92</f>
        <v>1654.69</v>
      </c>
      <c r="G271" s="183">
        <f>G92</f>
        <v>1885.71</v>
      </c>
      <c r="H271" s="183">
        <f>H92</f>
        <v>4626.96</v>
      </c>
      <c r="I271" s="183">
        <f>I92</f>
        <v>6859.21</v>
      </c>
      <c r="J271" s="183">
        <f>J92</f>
        <v>3694.53</v>
      </c>
      <c r="K271" s="181"/>
      <c r="L271" s="181"/>
      <c r="M271" s="181"/>
      <c r="N271" s="181"/>
      <c r="O271" s="181"/>
    </row>
    <row r="272" spans="1:15" hidden="1" outlineLevel="1" x14ac:dyDescent="0.25">
      <c r="A272" s="71"/>
      <c r="B272" s="71"/>
      <c r="C272" s="127" t="s">
        <v>139</v>
      </c>
      <c r="D272" s="71"/>
      <c r="E272" s="71"/>
      <c r="F272" s="184">
        <f>F271/F254</f>
        <v>1.8753789711930893E-2</v>
      </c>
      <c r="G272" s="184">
        <f>G271/G254</f>
        <v>1.431480811487495E-2</v>
      </c>
      <c r="H272" s="184">
        <f>H271/H254</f>
        <v>2.8841743108543445E-2</v>
      </c>
      <c r="I272" s="184">
        <f>I271/I254</f>
        <v>3.4282936776682919E-2</v>
      </c>
      <c r="J272" s="184">
        <f>J271/J254</f>
        <v>1.7036963015495371E-2</v>
      </c>
      <c r="K272" s="181"/>
      <c r="L272" s="181"/>
      <c r="M272" s="181"/>
      <c r="N272" s="181"/>
      <c r="O272" s="181"/>
    </row>
    <row r="273" spans="1:15" hidden="1" outlineLevel="1" x14ac:dyDescent="0.25">
      <c r="A273" s="71"/>
      <c r="B273" s="71"/>
      <c r="C273" s="127" t="s">
        <v>140</v>
      </c>
      <c r="D273" s="71"/>
      <c r="E273" s="71"/>
      <c r="F273" s="184"/>
      <c r="G273" s="184"/>
      <c r="H273" s="184"/>
      <c r="I273" s="184"/>
      <c r="J273" s="184">
        <f>AVERAGE(F272:J272)</f>
        <v>2.2646048145505516E-2</v>
      </c>
      <c r="K273" s="181"/>
      <c r="L273" s="181"/>
      <c r="M273" s="181"/>
      <c r="N273" s="181"/>
      <c r="O273" s="181"/>
    </row>
    <row r="274" spans="1:15" hidden="1" outlineLevel="1" x14ac:dyDescent="0.25">
      <c r="A274" s="139"/>
      <c r="B274" s="139"/>
      <c r="C274" s="188" t="s">
        <v>321</v>
      </c>
      <c r="D274" s="139"/>
      <c r="E274" s="139"/>
      <c r="F274" s="139"/>
      <c r="G274" s="139"/>
      <c r="H274" s="139"/>
      <c r="I274" s="139"/>
      <c r="J274" s="139"/>
      <c r="K274" s="182">
        <f>$J$273*K254</f>
        <v>5902.0163124300725</v>
      </c>
      <c r="L274" s="182">
        <f>$J$273*L254</f>
        <v>6728.0798007031162</v>
      </c>
      <c r="M274" s="182">
        <f>$J$273*M254</f>
        <v>7628.9575759228546</v>
      </c>
      <c r="N274" s="182">
        <f>$J$273*N254</f>
        <v>8602.2878198261151</v>
      </c>
      <c r="O274" s="182">
        <f>$J$273*O254</f>
        <v>9616.4412293777896</v>
      </c>
    </row>
    <row r="275" spans="1:15" hidden="1" outlineLevel="1" x14ac:dyDescent="0.2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147"/>
      <c r="L275" s="147"/>
      <c r="M275" s="147"/>
      <c r="N275" s="147"/>
      <c r="O275" s="147"/>
    </row>
    <row r="276" spans="1:15" collapsed="1" x14ac:dyDescent="0.25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185"/>
      <c r="L276" s="185"/>
      <c r="M276" s="185"/>
      <c r="N276" s="185"/>
      <c r="O276" s="185"/>
    </row>
    <row r="277" spans="1:15" ht="25.5" x14ac:dyDescent="0.35">
      <c r="A277" s="142" t="s">
        <v>144</v>
      </c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5"/>
    </row>
    <row r="278" spans="1:15" hidden="1" outlineLevel="2" x14ac:dyDescent="0.25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</row>
    <row r="279" spans="1:15" hidden="1" outlineLevel="2" x14ac:dyDescent="0.25">
      <c r="A279" s="144" t="s">
        <v>134</v>
      </c>
      <c r="B279" s="86"/>
      <c r="C279" s="86"/>
      <c r="D279" s="86"/>
      <c r="E279" s="86"/>
      <c r="F279" s="145">
        <f>G279-1</f>
        <v>2021</v>
      </c>
      <c r="G279" s="145">
        <f>H279-1</f>
        <v>2022</v>
      </c>
      <c r="H279" s="145">
        <f>I279-1</f>
        <v>2023</v>
      </c>
      <c r="I279" s="145">
        <f>J279-1</f>
        <v>2024</v>
      </c>
      <c r="J279" s="145">
        <f>K279-1</f>
        <v>2025</v>
      </c>
      <c r="K279" s="146">
        <f>K$82</f>
        <v>2026</v>
      </c>
      <c r="L279" s="146">
        <f>L$82</f>
        <v>2027</v>
      </c>
      <c r="M279" s="146">
        <f>M$82</f>
        <v>2028</v>
      </c>
      <c r="N279" s="146">
        <f>N$82</f>
        <v>2029</v>
      </c>
      <c r="O279" s="146">
        <f>O$82</f>
        <v>2030</v>
      </c>
    </row>
    <row r="280" spans="1:15" hidden="1" outlineLevel="2" x14ac:dyDescent="0.25">
      <c r="A280" s="71"/>
      <c r="B280" s="71"/>
      <c r="C280" s="71"/>
      <c r="D280" s="71"/>
      <c r="E280" s="71"/>
      <c r="F280" s="123"/>
      <c r="G280" s="123"/>
      <c r="H280" s="123"/>
      <c r="I280" s="123"/>
      <c r="J280" s="123"/>
      <c r="K280" s="148"/>
      <c r="L280" s="148"/>
      <c r="M280" s="148"/>
      <c r="N280" s="148"/>
      <c r="O280" s="148"/>
    </row>
    <row r="281" spans="1:15" hidden="1" outlineLevel="2" x14ac:dyDescent="0.25">
      <c r="A281" s="71"/>
      <c r="B281" s="72" t="s">
        <v>145</v>
      </c>
      <c r="C281" s="71"/>
      <c r="D281" s="71"/>
      <c r="E281" s="71"/>
      <c r="F281" s="123"/>
      <c r="G281" s="123"/>
      <c r="H281" s="123"/>
      <c r="I281" s="123"/>
      <c r="J281" s="123"/>
      <c r="K281" s="148"/>
      <c r="L281" s="148"/>
      <c r="M281" s="148"/>
      <c r="N281" s="148"/>
      <c r="O281" s="148"/>
    </row>
    <row r="282" spans="1:15" hidden="1" outlineLevel="2" x14ac:dyDescent="0.25">
      <c r="A282" s="71"/>
      <c r="B282" s="71"/>
      <c r="C282" s="71" t="s">
        <v>10</v>
      </c>
      <c r="D282" s="71"/>
      <c r="E282" s="71"/>
      <c r="F282" s="123"/>
      <c r="G282" s="123"/>
      <c r="H282" s="123"/>
      <c r="I282" s="123"/>
      <c r="J282" s="123">
        <f t="shared" ref="J282:O282" si="28">J87</f>
        <v>216853.79</v>
      </c>
      <c r="K282" s="148">
        <f t="shared" si="28"/>
        <v>260620.14328100003</v>
      </c>
      <c r="L282" s="148">
        <f t="shared" si="28"/>
        <v>297097.30181062146</v>
      </c>
      <c r="M282" s="148">
        <f t="shared" si="28"/>
        <v>336878.09576775751</v>
      </c>
      <c r="N282" s="148">
        <f t="shared" si="28"/>
        <v>379858.23241894774</v>
      </c>
      <c r="O282" s="148">
        <f t="shared" si="28"/>
        <v>424641.03085846046</v>
      </c>
    </row>
    <row r="283" spans="1:15" hidden="1" outlineLevel="2" x14ac:dyDescent="0.25">
      <c r="A283" s="71"/>
      <c r="B283" s="71"/>
      <c r="C283" s="71" t="s">
        <v>146</v>
      </c>
      <c r="D283" s="71"/>
      <c r="E283" s="71"/>
      <c r="F283" s="123"/>
      <c r="G283" s="123"/>
      <c r="H283" s="123"/>
      <c r="I283" s="123"/>
      <c r="J283" s="123"/>
      <c r="K283" s="189">
        <f>K282/J282-1</f>
        <v>0.2018242488683275</v>
      </c>
      <c r="L283" s="189">
        <f>L282/K282-1</f>
        <v>0.13996292869155491</v>
      </c>
      <c r="M283" s="189">
        <f>M282/L282-1</f>
        <v>0.13389820006676967</v>
      </c>
      <c r="N283" s="189">
        <f>N282/M282-1</f>
        <v>0.12758364877727346</v>
      </c>
      <c r="O283" s="189">
        <f>O282/N282-1</f>
        <v>0.11789345239231652</v>
      </c>
    </row>
    <row r="284" spans="1:15" hidden="1" outlineLevel="2" x14ac:dyDescent="0.25">
      <c r="A284" s="71"/>
      <c r="B284" s="71"/>
      <c r="C284" s="71" t="s">
        <v>85</v>
      </c>
      <c r="D284" s="71"/>
      <c r="E284" s="71"/>
      <c r="F284" s="123"/>
      <c r="G284" s="123"/>
      <c r="H284" s="123"/>
      <c r="I284" s="123"/>
      <c r="J284" s="123">
        <f t="shared" ref="J284:O284" si="29">J91</f>
        <v>93370.62</v>
      </c>
      <c r="K284" s="148">
        <f t="shared" si="29"/>
        <v>115717.74933852088</v>
      </c>
      <c r="L284" s="148">
        <f t="shared" si="29"/>
        <v>131913.94443753551</v>
      </c>
      <c r="M284" s="148">
        <f t="shared" si="29"/>
        <v>149576.98416142937</v>
      </c>
      <c r="N284" s="148">
        <f t="shared" si="29"/>
        <v>168660.56157384496</v>
      </c>
      <c r="O284" s="148">
        <f t="shared" si="29"/>
        <v>188544.53746021242</v>
      </c>
    </row>
    <row r="285" spans="1:15" hidden="1" outlineLevel="2" x14ac:dyDescent="0.25">
      <c r="A285" s="71"/>
      <c r="B285" s="71"/>
      <c r="C285" s="71" t="s">
        <v>146</v>
      </c>
      <c r="D285" s="71"/>
      <c r="E285" s="71"/>
      <c r="F285" s="123"/>
      <c r="G285" s="123"/>
      <c r="H285" s="123"/>
      <c r="I285" s="123"/>
      <c r="J285" s="123"/>
      <c r="K285" s="189">
        <f>K284/J284-1</f>
        <v>0.23933791313071384</v>
      </c>
      <c r="L285" s="189">
        <f>L284/K284-1</f>
        <v>0.13996292869155491</v>
      </c>
      <c r="M285" s="189">
        <f>M284/L284-1</f>
        <v>0.13389820006676967</v>
      </c>
      <c r="N285" s="189">
        <f>N284/M284-1</f>
        <v>0.12758364877727346</v>
      </c>
      <c r="O285" s="189">
        <f>O284/N284-1</f>
        <v>0.11789345239231652</v>
      </c>
    </row>
    <row r="286" spans="1:15" hidden="1" outlineLevel="2" x14ac:dyDescent="0.25">
      <c r="A286" s="71"/>
      <c r="B286" s="71"/>
      <c r="C286" s="71"/>
      <c r="D286" s="71"/>
      <c r="E286" s="71"/>
      <c r="F286" s="123"/>
      <c r="G286" s="123"/>
      <c r="H286" s="123"/>
      <c r="I286" s="123"/>
      <c r="J286" s="123"/>
      <c r="K286" s="148"/>
      <c r="L286" s="148"/>
      <c r="M286" s="148"/>
      <c r="N286" s="148"/>
      <c r="O286" s="148"/>
    </row>
    <row r="287" spans="1:15" hidden="1" outlineLevel="2" x14ac:dyDescent="0.25">
      <c r="A287" s="71"/>
      <c r="B287" s="72" t="s">
        <v>147</v>
      </c>
      <c r="C287" s="71"/>
      <c r="D287" s="71"/>
      <c r="E287" s="71"/>
      <c r="F287" s="123"/>
      <c r="G287" s="123"/>
      <c r="H287" s="123"/>
      <c r="I287" s="123"/>
      <c r="J287" s="123"/>
      <c r="K287" s="148"/>
      <c r="L287" s="148"/>
      <c r="M287" s="148"/>
      <c r="N287" s="148"/>
      <c r="O287" s="148"/>
    </row>
    <row r="288" spans="1:15" hidden="1" outlineLevel="2" x14ac:dyDescent="0.25">
      <c r="A288" s="71"/>
      <c r="B288" s="71"/>
      <c r="C288" s="71" t="s">
        <v>44</v>
      </c>
      <c r="D288" s="71"/>
      <c r="E288" s="71"/>
      <c r="F288" s="123"/>
      <c r="G288" s="123"/>
      <c r="H288" s="123"/>
      <c r="I288" s="123"/>
      <c r="J288" s="123">
        <f>J185</f>
        <v>12490.31</v>
      </c>
      <c r="K288" s="148">
        <f>J288*(1+K283)</f>
        <v>15011.157433882559</v>
      </c>
      <c r="L288" s="148">
        <f>K288*(1+L283)</f>
        <v>17112.162991378769</v>
      </c>
      <c r="M288" s="148">
        <f>L288*(1+M283)</f>
        <v>19403.450815173575</v>
      </c>
      <c r="N288" s="148">
        <f>M288*(1+N283)</f>
        <v>21879.013869043782</v>
      </c>
      <c r="O288" s="148">
        <f>N288*(1+O283)</f>
        <v>24458.406349004727</v>
      </c>
    </row>
    <row r="289" spans="1:15" hidden="1" outlineLevel="2" x14ac:dyDescent="0.25">
      <c r="A289" s="71"/>
      <c r="B289" s="71"/>
      <c r="C289" s="71" t="s">
        <v>43</v>
      </c>
      <c r="D289" s="71"/>
      <c r="E289" s="71"/>
      <c r="F289" s="123"/>
      <c r="G289" s="123"/>
      <c r="H289" s="123"/>
      <c r="I289" s="123"/>
      <c r="J289" s="123">
        <f>J184</f>
        <v>29517.89</v>
      </c>
      <c r="K289" s="148">
        <f>J289*(1+K285)</f>
        <v>36582.64019262197</v>
      </c>
      <c r="L289" s="148">
        <f>K289*(1+L285)</f>
        <v>41702.853653250728</v>
      </c>
      <c r="M289" s="148">
        <f>L289*(1+M285)</f>
        <v>47286.790695068907</v>
      </c>
      <c r="N289" s="148">
        <f>M289*(1+N285)</f>
        <v>53319.811990913018</v>
      </c>
      <c r="O289" s="148">
        <f>N289*(1+O285)</f>
        <v>59605.868707430993</v>
      </c>
    </row>
    <row r="290" spans="1:15" hidden="1" outlineLevel="2" x14ac:dyDescent="0.25">
      <c r="A290" s="71"/>
      <c r="B290" s="71"/>
      <c r="C290" s="71" t="s">
        <v>76</v>
      </c>
      <c r="D290" s="71"/>
      <c r="E290" s="71"/>
      <c r="F290" s="123"/>
      <c r="G290" s="123"/>
      <c r="H290" s="123"/>
      <c r="I290" s="123"/>
      <c r="J290" s="123">
        <f>J188</f>
        <v>16900.919999999998</v>
      </c>
      <c r="K290" s="148">
        <f>J290*(1+K283)</f>
        <v>20311.93548418369</v>
      </c>
      <c r="L290" s="148">
        <f>K290*(1+L283)</f>
        <v>23154.853461943956</v>
      </c>
      <c r="M290" s="148">
        <f>L290*(1+M283)</f>
        <v>26255.246663308062</v>
      </c>
      <c r="N290" s="148">
        <f>M290*(1+N283)</f>
        <v>29604.986832160237</v>
      </c>
      <c r="O290" s="148">
        <f>N290*(1+O283)</f>
        <v>33095.220937832681</v>
      </c>
    </row>
    <row r="291" spans="1:15" hidden="1" outlineLevel="2" x14ac:dyDescent="0.25">
      <c r="A291" s="71"/>
      <c r="B291" s="71"/>
      <c r="C291" s="71"/>
      <c r="D291" s="71"/>
      <c r="E291" s="71"/>
      <c r="F291" s="123"/>
      <c r="G291" s="123"/>
      <c r="H291" s="123"/>
      <c r="I291" s="123"/>
      <c r="J291" s="123"/>
      <c r="K291" s="148"/>
      <c r="L291" s="148"/>
      <c r="M291" s="148"/>
      <c r="N291" s="148"/>
      <c r="O291" s="148"/>
    </row>
    <row r="292" spans="1:15" hidden="1" outlineLevel="2" x14ac:dyDescent="0.25">
      <c r="A292" s="71"/>
      <c r="B292" s="71"/>
      <c r="C292" s="71" t="s">
        <v>103</v>
      </c>
      <c r="D292" s="71"/>
      <c r="E292" s="71"/>
      <c r="F292" s="123"/>
      <c r="G292" s="123"/>
      <c r="H292" s="123"/>
      <c r="I292" s="123"/>
      <c r="J292" s="123">
        <f>J213</f>
        <v>14013.04</v>
      </c>
      <c r="K292" s="148">
        <f>J292*(1+K285)</f>
        <v>17366.891750217219</v>
      </c>
      <c r="L292" s="148">
        <f>K292*(1+L285)</f>
        <v>19797.612781846823</v>
      </c>
      <c r="M292" s="148">
        <f>L292*(1+M285)</f>
        <v>22448.477498954984</v>
      </c>
      <c r="N292" s="148">
        <f>M292*(1+N285)</f>
        <v>25312.536167766182</v>
      </c>
      <c r="O292" s="148">
        <f>N292*(1+O285)</f>
        <v>28296.718445389513</v>
      </c>
    </row>
    <row r="293" spans="1:15" hidden="1" outlineLevel="2" x14ac:dyDescent="0.25">
      <c r="A293" s="71"/>
      <c r="B293" s="71"/>
      <c r="C293" s="71" t="s">
        <v>104</v>
      </c>
      <c r="D293" s="71"/>
      <c r="E293" s="71"/>
      <c r="F293" s="123"/>
      <c r="G293" s="123"/>
      <c r="H293" s="123"/>
      <c r="I293" s="123"/>
      <c r="J293" s="123">
        <f>J215</f>
        <v>4465.13</v>
      </c>
      <c r="K293" s="148">
        <f>J293*(1+K283)</f>
        <v>5366.3015083494356</v>
      </c>
      <c r="L293" s="148">
        <f>K293*(1+L283)</f>
        <v>6117.3847836999312</v>
      </c>
      <c r="M293" s="148">
        <f>L293*(1+M283)</f>
        <v>6936.4915953531972</v>
      </c>
      <c r="N293" s="148">
        <f>M293*(1+N283)</f>
        <v>7821.4745028012485</v>
      </c>
      <c r="O293" s="148">
        <f>N293*(1+O283)</f>
        <v>8743.5751347349651</v>
      </c>
    </row>
    <row r="294" spans="1:15" hidden="1" outlineLevel="2" x14ac:dyDescent="0.25">
      <c r="A294" s="71"/>
      <c r="B294" s="71"/>
      <c r="C294" s="71" t="s">
        <v>150</v>
      </c>
      <c r="D294" s="71"/>
      <c r="E294" s="71"/>
      <c r="F294" s="123"/>
      <c r="G294" s="123"/>
      <c r="H294" s="123"/>
      <c r="I294" s="123"/>
      <c r="J294" s="123">
        <f>J212</f>
        <v>5953.85</v>
      </c>
      <c r="K294" s="148">
        <f>J294</f>
        <v>5953.85</v>
      </c>
      <c r="L294" s="148">
        <f>K294</f>
        <v>5953.85</v>
      </c>
      <c r="M294" s="148">
        <f>L294</f>
        <v>5953.85</v>
      </c>
      <c r="N294" s="148">
        <f>M294</f>
        <v>5953.85</v>
      </c>
      <c r="O294" s="148">
        <f>N294</f>
        <v>5953.85</v>
      </c>
    </row>
    <row r="295" spans="1:15" hidden="1" outlineLevel="2" x14ac:dyDescent="0.25">
      <c r="A295" s="71"/>
      <c r="B295" s="71"/>
      <c r="C295" s="71"/>
      <c r="D295" s="71"/>
      <c r="E295" s="71"/>
      <c r="F295" s="123"/>
      <c r="G295" s="123"/>
      <c r="H295" s="123"/>
      <c r="I295" s="123"/>
      <c r="J295" s="123"/>
      <c r="K295" s="148"/>
      <c r="L295" s="148"/>
      <c r="M295" s="148"/>
      <c r="N295" s="148"/>
      <c r="O295" s="148"/>
    </row>
    <row r="296" spans="1:15" hidden="1" outlineLevel="2" x14ac:dyDescent="0.25">
      <c r="A296" s="71"/>
      <c r="B296" s="71"/>
      <c r="C296" s="71" t="s">
        <v>88</v>
      </c>
      <c r="D296" s="71"/>
      <c r="E296" s="71"/>
      <c r="F296" s="123">
        <f t="shared" ref="F296:O296" si="30">F94</f>
        <v>10076.99</v>
      </c>
      <c r="G296" s="123">
        <f t="shared" si="30"/>
        <v>12166.42</v>
      </c>
      <c r="H296" s="123">
        <f t="shared" si="30"/>
        <v>14465.87</v>
      </c>
      <c r="I296" s="123">
        <f t="shared" si="30"/>
        <v>18850.259999999998</v>
      </c>
      <c r="J296" s="123">
        <f t="shared" si="30"/>
        <v>22007.43</v>
      </c>
      <c r="K296" s="148">
        <f t="shared" si="30"/>
        <v>25667.936469337052</v>
      </c>
      <c r="L296" s="148">
        <f t="shared" si="30"/>
        <v>29260.496031054237</v>
      </c>
      <c r="M296" s="148">
        <f t="shared" si="30"/>
        <v>33178.423782673257</v>
      </c>
      <c r="N296" s="148">
        <f t="shared" si="30"/>
        <v>37411.448149545373</v>
      </c>
      <c r="O296" s="148">
        <f t="shared" si="30"/>
        <v>41822.012930891426</v>
      </c>
    </row>
    <row r="297" spans="1:15" hidden="1" outlineLevel="2" x14ac:dyDescent="0.25">
      <c r="A297" s="71"/>
      <c r="B297" s="71"/>
      <c r="C297" s="71" t="s">
        <v>149</v>
      </c>
      <c r="D297" s="71"/>
      <c r="E297" s="71"/>
      <c r="F297" s="123">
        <f>F214</f>
        <v>497.4</v>
      </c>
      <c r="G297" s="123">
        <f>G214</f>
        <v>291.91000000000003</v>
      </c>
      <c r="H297" s="123">
        <f>H214</f>
        <v>825.43</v>
      </c>
      <c r="I297" s="123">
        <f>I214</f>
        <v>739</v>
      </c>
      <c r="J297" s="123">
        <f>J214</f>
        <v>505.26</v>
      </c>
      <c r="K297" s="148"/>
      <c r="L297" s="148"/>
      <c r="M297" s="148"/>
      <c r="N297" s="148"/>
      <c r="O297" s="148"/>
    </row>
    <row r="298" spans="1:15" hidden="1" outlineLevel="2" x14ac:dyDescent="0.25">
      <c r="A298" s="71"/>
      <c r="B298" s="71"/>
      <c r="C298" s="71" t="s">
        <v>151</v>
      </c>
      <c r="D298" s="71"/>
      <c r="E298" s="71"/>
      <c r="F298" s="184">
        <f>F297/F296</f>
        <v>4.9359977532973637E-2</v>
      </c>
      <c r="G298" s="184">
        <f>G297/G296</f>
        <v>2.3993089174958619E-2</v>
      </c>
      <c r="H298" s="184">
        <f>H297/H296</f>
        <v>5.7060515544519609E-2</v>
      </c>
      <c r="I298" s="184">
        <f>I297/I296</f>
        <v>3.9203703291095189E-2</v>
      </c>
      <c r="J298" s="184">
        <f>J297/J296</f>
        <v>2.2958609887660665E-2</v>
      </c>
      <c r="K298" s="148"/>
      <c r="L298" s="148"/>
      <c r="M298" s="148"/>
      <c r="N298" s="148"/>
      <c r="O298" s="148"/>
    </row>
    <row r="299" spans="1:15" hidden="1" outlineLevel="2" x14ac:dyDescent="0.25">
      <c r="A299" s="71"/>
      <c r="B299" s="71"/>
      <c r="C299" s="71" t="s">
        <v>152</v>
      </c>
      <c r="D299" s="71"/>
      <c r="E299" s="71"/>
      <c r="F299" s="123"/>
      <c r="G299" s="123"/>
      <c r="H299" s="123"/>
      <c r="I299" s="123"/>
      <c r="J299" s="190">
        <f>AVERAGE(F298:J298)</f>
        <v>3.8515179086241538E-2</v>
      </c>
      <c r="K299" s="148"/>
      <c r="L299" s="148"/>
      <c r="M299" s="148"/>
      <c r="N299" s="148"/>
      <c r="O299" s="148"/>
    </row>
    <row r="300" spans="1:15" hidden="1" outlineLevel="2" x14ac:dyDescent="0.25">
      <c r="A300" s="71"/>
      <c r="B300" s="71"/>
      <c r="C300" s="71" t="s">
        <v>153</v>
      </c>
      <c r="D300" s="71"/>
      <c r="E300" s="71"/>
      <c r="F300" s="123"/>
      <c r="G300" s="123"/>
      <c r="H300" s="123"/>
      <c r="I300" s="123"/>
      <c r="J300" s="123"/>
      <c r="K300" s="148">
        <f>K296*$J$299</f>
        <v>988.6051698907869</v>
      </c>
      <c r="L300" s="148">
        <f>L296*$J$299</f>
        <v>1126.9732447883137</v>
      </c>
      <c r="M300" s="148">
        <f>M296*$J$299</f>
        <v>1277.8729337888758</v>
      </c>
      <c r="N300" s="148">
        <f>N296*$J$299</f>
        <v>1440.9086253553796</v>
      </c>
      <c r="O300" s="148">
        <f>O296*$J$299</f>
        <v>1610.7823177803925</v>
      </c>
    </row>
    <row r="301" spans="1:15" hidden="1" outlineLevel="2" x14ac:dyDescent="0.25">
      <c r="A301" s="71"/>
      <c r="B301" s="71"/>
      <c r="C301" s="71"/>
      <c r="D301" s="71"/>
      <c r="E301" s="71"/>
      <c r="F301" s="123"/>
      <c r="G301" s="123"/>
      <c r="H301" s="123"/>
      <c r="I301" s="123"/>
      <c r="J301" s="123"/>
      <c r="K301" s="148"/>
      <c r="L301" s="148"/>
      <c r="M301" s="148"/>
      <c r="N301" s="148"/>
      <c r="O301" s="148"/>
    </row>
    <row r="302" spans="1:15" hidden="1" outlineLevel="2" x14ac:dyDescent="0.25">
      <c r="A302" s="71"/>
      <c r="B302" s="71"/>
      <c r="C302" s="71"/>
      <c r="D302" s="71"/>
      <c r="E302" s="71"/>
      <c r="F302" s="123"/>
      <c r="G302" s="123"/>
      <c r="H302" s="123"/>
      <c r="I302" s="123"/>
      <c r="J302" s="123"/>
      <c r="K302" s="148"/>
      <c r="L302" s="148"/>
      <c r="M302" s="148"/>
      <c r="N302" s="148"/>
      <c r="O302" s="148"/>
    </row>
    <row r="303" spans="1:15" hidden="1" outlineLevel="2" x14ac:dyDescent="0.25">
      <c r="A303" s="71"/>
      <c r="B303" s="71"/>
      <c r="C303" s="71" t="s">
        <v>376</v>
      </c>
      <c r="D303" s="71"/>
      <c r="E303" s="71"/>
      <c r="F303" s="123"/>
      <c r="G303" s="123"/>
      <c r="H303" s="123"/>
      <c r="I303" s="123"/>
      <c r="J303" s="123"/>
      <c r="K303" s="148">
        <f>K292-J292</f>
        <v>3353.8517502172181</v>
      </c>
      <c r="L303" s="148">
        <f>L292-K292</f>
        <v>2430.7210316296041</v>
      </c>
      <c r="M303" s="148">
        <f>M292-L292</f>
        <v>2650.8647171081611</v>
      </c>
      <c r="N303" s="148">
        <f>N292-M292</f>
        <v>2864.058668811198</v>
      </c>
      <c r="O303" s="148">
        <f>O292-N292</f>
        <v>2984.1822776233312</v>
      </c>
    </row>
    <row r="304" spans="1:15" hidden="1" outlineLevel="2" x14ac:dyDescent="0.25">
      <c r="A304" s="71"/>
      <c r="B304" s="71"/>
      <c r="C304" s="71" t="s">
        <v>377</v>
      </c>
      <c r="D304" s="71"/>
      <c r="E304" s="71"/>
      <c r="F304" s="123"/>
      <c r="G304" s="123"/>
      <c r="H304" s="123"/>
      <c r="I304" s="123"/>
      <c r="J304" s="123"/>
      <c r="K304" s="148">
        <f>K215-J215</f>
        <v>901.1715083494355</v>
      </c>
      <c r="L304" s="148">
        <f>L215-K215</f>
        <v>751.08327535049557</v>
      </c>
      <c r="M304" s="148">
        <f>M215-L215</f>
        <v>819.10681165326605</v>
      </c>
      <c r="N304" s="148">
        <f>N215-M215</f>
        <v>884.98290744805126</v>
      </c>
      <c r="O304" s="148">
        <f>O215-N215</f>
        <v>922.10063193371661</v>
      </c>
    </row>
    <row r="305" spans="1:15" hidden="1" outlineLevel="2" x14ac:dyDescent="0.25">
      <c r="A305" s="71"/>
      <c r="B305" s="71"/>
      <c r="C305" s="71" t="s">
        <v>378</v>
      </c>
      <c r="D305" s="71"/>
      <c r="E305" s="71"/>
      <c r="F305" s="123"/>
      <c r="G305" s="123"/>
      <c r="H305" s="123"/>
      <c r="I305" s="123"/>
      <c r="J305" s="123"/>
      <c r="K305" s="148">
        <f>K214-J214</f>
        <v>483.34516989078691</v>
      </c>
      <c r="L305" s="148">
        <f>L214-K214</f>
        <v>138.36807489752675</v>
      </c>
      <c r="M305" s="148">
        <f>M214-L214</f>
        <v>150.89968900056215</v>
      </c>
      <c r="N305" s="148">
        <f>N214-M214</f>
        <v>163.03569156650383</v>
      </c>
      <c r="O305" s="148">
        <f>O214-N214</f>
        <v>169.87369242501291</v>
      </c>
    </row>
    <row r="306" spans="1:15" hidden="1" outlineLevel="2" x14ac:dyDescent="0.25">
      <c r="A306" s="139"/>
      <c r="B306" s="139"/>
      <c r="C306" s="139" t="s">
        <v>379</v>
      </c>
      <c r="D306" s="139"/>
      <c r="E306" s="139"/>
      <c r="F306" s="140"/>
      <c r="G306" s="140"/>
      <c r="H306" s="140"/>
      <c r="I306" s="140"/>
      <c r="J306" s="140"/>
      <c r="K306" s="157">
        <f>SUM(K303:K305)</f>
        <v>4738.3684284574401</v>
      </c>
      <c r="L306" s="157">
        <f>SUM(L303:L305)</f>
        <v>3320.1723818776263</v>
      </c>
      <c r="M306" s="157">
        <f>SUM(M303:M305)</f>
        <v>3620.8712177619891</v>
      </c>
      <c r="N306" s="157">
        <f>SUM(N303:N305)</f>
        <v>3912.0772678257531</v>
      </c>
      <c r="O306" s="157">
        <f>SUM(O303:O305)</f>
        <v>4076.1566019820607</v>
      </c>
    </row>
    <row r="307" spans="1:15" hidden="1" outlineLevel="2" x14ac:dyDescent="0.25">
      <c r="A307" s="71"/>
      <c r="B307" s="71"/>
      <c r="C307" s="71"/>
      <c r="D307" s="71"/>
      <c r="E307" s="71"/>
      <c r="F307" s="123"/>
      <c r="G307" s="123"/>
      <c r="H307" s="123"/>
      <c r="I307" s="123"/>
      <c r="J307" s="123"/>
      <c r="K307" s="148"/>
      <c r="L307" s="148"/>
      <c r="M307" s="148"/>
      <c r="N307" s="148"/>
      <c r="O307" s="148"/>
    </row>
    <row r="308" spans="1:15" hidden="1" outlineLevel="2" x14ac:dyDescent="0.25">
      <c r="A308" s="71"/>
      <c r="B308" s="71"/>
      <c r="C308" s="71" t="s">
        <v>322</v>
      </c>
      <c r="D308" s="71"/>
      <c r="E308" s="71"/>
      <c r="F308" s="123"/>
      <c r="G308" s="123"/>
      <c r="H308" s="123"/>
      <c r="I308" s="123"/>
      <c r="J308" s="123"/>
      <c r="K308" s="148">
        <f t="shared" ref="K308:O310" si="31">J288-K288</f>
        <v>-2520.8474338825599</v>
      </c>
      <c r="L308" s="148">
        <f t="shared" si="31"/>
        <v>-2101.0055574962098</v>
      </c>
      <c r="M308" s="148">
        <f t="shared" si="31"/>
        <v>-2291.2878237948062</v>
      </c>
      <c r="N308" s="148">
        <f t="shared" si="31"/>
        <v>-2475.5630538702062</v>
      </c>
      <c r="O308" s="148">
        <f t="shared" si="31"/>
        <v>-2579.3924799609449</v>
      </c>
    </row>
    <row r="309" spans="1:15" hidden="1" outlineLevel="2" x14ac:dyDescent="0.25">
      <c r="A309" s="71"/>
      <c r="B309" s="71"/>
      <c r="C309" s="71" t="s">
        <v>323</v>
      </c>
      <c r="D309" s="71"/>
      <c r="E309" s="71"/>
      <c r="F309" s="123"/>
      <c r="G309" s="123"/>
      <c r="H309" s="123"/>
      <c r="I309" s="123"/>
      <c r="J309" s="123"/>
      <c r="K309" s="148">
        <f t="shared" si="31"/>
        <v>-7064.7501926219702</v>
      </c>
      <c r="L309" s="148">
        <f t="shared" si="31"/>
        <v>-5120.2134606287582</v>
      </c>
      <c r="M309" s="148">
        <f t="shared" si="31"/>
        <v>-5583.9370418181788</v>
      </c>
      <c r="N309" s="148">
        <f t="shared" si="31"/>
        <v>-6033.0212958441116</v>
      </c>
      <c r="O309" s="148">
        <f t="shared" si="31"/>
        <v>-6286.0567165179746</v>
      </c>
    </row>
    <row r="310" spans="1:15" hidden="1" outlineLevel="2" x14ac:dyDescent="0.25">
      <c r="A310" s="71"/>
      <c r="B310" s="71"/>
      <c r="C310" s="71" t="s">
        <v>324</v>
      </c>
      <c r="D310" s="71"/>
      <c r="E310" s="71"/>
      <c r="F310" s="123"/>
      <c r="G310" s="123"/>
      <c r="H310" s="123"/>
      <c r="I310" s="123"/>
      <c r="J310" s="123"/>
      <c r="K310" s="148">
        <f t="shared" si="31"/>
        <v>-3411.015484183692</v>
      </c>
      <c r="L310" s="148">
        <f t="shared" si="31"/>
        <v>-2842.9179777602658</v>
      </c>
      <c r="M310" s="148">
        <f t="shared" si="31"/>
        <v>-3100.3932013641061</v>
      </c>
      <c r="N310" s="148">
        <f t="shared" si="31"/>
        <v>-3349.740168852175</v>
      </c>
      <c r="O310" s="148">
        <f t="shared" si="31"/>
        <v>-3490.2341056724435</v>
      </c>
    </row>
    <row r="311" spans="1:15" hidden="1" outlineLevel="2" x14ac:dyDescent="0.25">
      <c r="A311" s="71"/>
      <c r="B311" s="71"/>
      <c r="C311" s="71"/>
      <c r="D311" s="71"/>
      <c r="E311" s="71"/>
      <c r="F311" s="123"/>
      <c r="G311" s="123"/>
      <c r="H311" s="123"/>
      <c r="I311" s="123"/>
      <c r="J311" s="123"/>
      <c r="K311" s="148"/>
      <c r="L311" s="148"/>
      <c r="M311" s="148"/>
      <c r="N311" s="148"/>
      <c r="O311" s="148"/>
    </row>
    <row r="312" spans="1:15" hidden="1" outlineLevel="2" x14ac:dyDescent="0.25">
      <c r="A312" s="71"/>
      <c r="B312" s="71"/>
      <c r="C312" s="71"/>
      <c r="D312" s="71"/>
      <c r="E312" s="71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</row>
    <row r="313" spans="1:15" collapsed="1" x14ac:dyDescent="0.25">
      <c r="A313" s="71"/>
      <c r="B313" s="71"/>
      <c r="C313" s="71"/>
      <c r="D313" s="71"/>
      <c r="E313" s="71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</row>
    <row r="314" spans="1:15" ht="25.5" x14ac:dyDescent="0.35">
      <c r="A314" s="142" t="s">
        <v>154</v>
      </c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5"/>
    </row>
    <row r="315" spans="1:15" hidden="1" outlineLevel="1" x14ac:dyDescent="0.2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</row>
    <row r="316" spans="1:15" hidden="1" outlineLevel="1" x14ac:dyDescent="0.25">
      <c r="A316" s="144" t="s">
        <v>155</v>
      </c>
      <c r="B316" s="86"/>
      <c r="C316" s="86"/>
      <c r="D316" s="86"/>
      <c r="E316" s="86"/>
      <c r="F316" s="145">
        <f>G316-1</f>
        <v>2021</v>
      </c>
      <c r="G316" s="145">
        <f>H316-1</f>
        <v>2022</v>
      </c>
      <c r="H316" s="145">
        <f>I316-1</f>
        <v>2023</v>
      </c>
      <c r="I316" s="145">
        <f>J316-1</f>
        <v>2024</v>
      </c>
      <c r="J316" s="145">
        <f>K316-1</f>
        <v>2025</v>
      </c>
      <c r="K316" s="146">
        <f>K$82</f>
        <v>2026</v>
      </c>
      <c r="L316" s="146">
        <f>L$82</f>
        <v>2027</v>
      </c>
      <c r="M316" s="146">
        <f>M$82</f>
        <v>2028</v>
      </c>
      <c r="N316" s="146">
        <f>N$82</f>
        <v>2029</v>
      </c>
      <c r="O316" s="146">
        <f>O$82</f>
        <v>2030</v>
      </c>
    </row>
    <row r="317" spans="1:15" hidden="1" outlineLevel="1" x14ac:dyDescent="0.25">
      <c r="A317" s="71"/>
      <c r="B317" s="71"/>
      <c r="C317" s="71"/>
      <c r="D317" s="71"/>
      <c r="E317" s="71"/>
      <c r="F317" s="123"/>
      <c r="G317" s="123"/>
      <c r="H317" s="123"/>
      <c r="I317" s="123"/>
      <c r="J317" s="123"/>
      <c r="K317" s="148"/>
      <c r="L317" s="148"/>
      <c r="M317" s="148"/>
      <c r="N317" s="148"/>
      <c r="O317" s="148"/>
    </row>
    <row r="318" spans="1:15" hidden="1" outlineLevel="1" x14ac:dyDescent="0.25">
      <c r="A318" s="71"/>
      <c r="B318" s="72" t="s">
        <v>169</v>
      </c>
      <c r="C318" s="71"/>
      <c r="D318" s="71"/>
      <c r="E318" s="71"/>
      <c r="F318" s="123"/>
      <c r="G318" s="123"/>
      <c r="H318" s="123"/>
      <c r="I318" s="123"/>
      <c r="J318" s="123"/>
      <c r="K318" s="148"/>
      <c r="L318" s="148"/>
      <c r="M318" s="148"/>
      <c r="N318" s="148"/>
      <c r="O318" s="148"/>
    </row>
    <row r="319" spans="1:15" hidden="1" outlineLevel="1" x14ac:dyDescent="0.25">
      <c r="A319" s="71"/>
      <c r="B319" s="71"/>
      <c r="C319" s="71" t="s">
        <v>172</v>
      </c>
      <c r="D319" s="71"/>
      <c r="E319" s="71"/>
      <c r="F319" s="123"/>
      <c r="G319" s="123"/>
      <c r="H319" s="123"/>
      <c r="I319" s="123"/>
      <c r="J319" s="123"/>
      <c r="K319" s="148">
        <f>K58</f>
        <v>11165.878500000001</v>
      </c>
      <c r="L319" s="148">
        <f>L58</f>
        <v>13102.57943291684</v>
      </c>
      <c r="M319" s="148">
        <f>M58</f>
        <v>14023.967730534931</v>
      </c>
      <c r="N319" s="148">
        <f>N58</f>
        <v>15004.450029766867</v>
      </c>
      <c r="O319" s="148">
        <f>O58</f>
        <v>16083.349731684462</v>
      </c>
    </row>
    <row r="320" spans="1:15" hidden="1" outlineLevel="1" x14ac:dyDescent="0.25">
      <c r="A320" s="71"/>
      <c r="B320" s="71"/>
      <c r="C320" s="71" t="s">
        <v>170</v>
      </c>
      <c r="D320" s="71"/>
      <c r="E320" s="71"/>
      <c r="F320" s="123"/>
      <c r="G320" s="123"/>
      <c r="H320" s="123"/>
      <c r="I320" s="123"/>
      <c r="J320" s="123"/>
      <c r="K320" s="148">
        <f>K57</f>
        <v>5000</v>
      </c>
      <c r="L320" s="148">
        <f>L57</f>
        <v>5250</v>
      </c>
      <c r="M320" s="148">
        <f>M57</f>
        <v>5512.5</v>
      </c>
      <c r="N320" s="148">
        <f>N57</f>
        <v>5788.125</v>
      </c>
      <c r="O320" s="148">
        <f>O57</f>
        <v>6077.53125</v>
      </c>
    </row>
    <row r="321" spans="1:15" hidden="1" outlineLevel="1" x14ac:dyDescent="0.25">
      <c r="A321" s="71"/>
      <c r="B321" s="71"/>
      <c r="C321" s="127" t="s">
        <v>173</v>
      </c>
      <c r="D321" s="71"/>
      <c r="E321" s="71"/>
      <c r="F321" s="123"/>
      <c r="G321" s="123"/>
      <c r="H321" s="123"/>
      <c r="I321" s="123"/>
      <c r="J321" s="123"/>
      <c r="K321" s="148">
        <f>K59</f>
        <v>4900</v>
      </c>
      <c r="L321" s="148"/>
      <c r="M321" s="148"/>
      <c r="N321" s="148"/>
      <c r="O321" s="148"/>
    </row>
    <row r="322" spans="1:15" hidden="1" outlineLevel="1" x14ac:dyDescent="0.25">
      <c r="A322" s="71"/>
      <c r="B322" s="71"/>
      <c r="C322" s="71" t="s">
        <v>182</v>
      </c>
      <c r="D322" s="71"/>
      <c r="E322" s="71"/>
      <c r="F322" s="123"/>
      <c r="G322" s="123"/>
      <c r="H322" s="123"/>
      <c r="I322" s="123"/>
      <c r="J322" s="123"/>
      <c r="K322" s="148">
        <f>K61</f>
        <v>3144</v>
      </c>
      <c r="L322" s="148">
        <f>L61</f>
        <v>0</v>
      </c>
      <c r="M322" s="148">
        <f>M61</f>
        <v>0</v>
      </c>
      <c r="N322" s="148">
        <f>N61</f>
        <v>0</v>
      </c>
      <c r="O322" s="148">
        <f>O61</f>
        <v>0</v>
      </c>
    </row>
    <row r="323" spans="1:15" hidden="1" outlineLevel="1" x14ac:dyDescent="0.25">
      <c r="A323" s="139"/>
      <c r="B323" s="139"/>
      <c r="C323" s="139" t="s">
        <v>183</v>
      </c>
      <c r="D323" s="139"/>
      <c r="E323" s="139"/>
      <c r="F323" s="140"/>
      <c r="G323" s="140"/>
      <c r="H323" s="140"/>
      <c r="I323" s="140"/>
      <c r="J323" s="140"/>
      <c r="K323" s="157">
        <f>SUM(K319:K322)</f>
        <v>24209.878499999999</v>
      </c>
      <c r="L323" s="157">
        <f>SUM(L319:L322)</f>
        <v>18352.579432916842</v>
      </c>
      <c r="M323" s="157">
        <f>SUM(M319:M322)</f>
        <v>19536.467730534932</v>
      </c>
      <c r="N323" s="157">
        <f>SUM(N319:N322)</f>
        <v>20792.575029766867</v>
      </c>
      <c r="O323" s="157">
        <f>SUM(O319:O322)</f>
        <v>22160.880981684462</v>
      </c>
    </row>
    <row r="324" spans="1:15" hidden="1" outlineLevel="1" x14ac:dyDescent="0.25">
      <c r="A324" s="79"/>
      <c r="B324" s="79"/>
      <c r="C324" s="79"/>
      <c r="D324" s="79"/>
      <c r="E324" s="79"/>
      <c r="F324" s="119"/>
      <c r="G324" s="119"/>
      <c r="H324" s="119"/>
      <c r="I324" s="119"/>
      <c r="J324" s="119"/>
      <c r="K324" s="161"/>
      <c r="L324" s="161"/>
      <c r="M324" s="161"/>
      <c r="N324" s="161"/>
      <c r="O324" s="161"/>
    </row>
    <row r="325" spans="1:15" hidden="1" outlineLevel="1" x14ac:dyDescent="0.25">
      <c r="A325" s="79"/>
      <c r="B325" s="79"/>
      <c r="C325" s="79"/>
      <c r="D325" s="79"/>
      <c r="E325" s="79"/>
      <c r="F325" s="119"/>
      <c r="G325" s="119"/>
      <c r="H325" s="119"/>
      <c r="I325" s="119"/>
      <c r="J325" s="119"/>
      <c r="K325" s="161"/>
      <c r="L325" s="161"/>
      <c r="M325" s="161"/>
      <c r="N325" s="161"/>
      <c r="O325" s="161"/>
    </row>
    <row r="326" spans="1:15" hidden="1" outlineLevel="1" x14ac:dyDescent="0.25">
      <c r="A326" s="79"/>
      <c r="B326" s="79"/>
      <c r="C326" s="187" t="s">
        <v>316</v>
      </c>
      <c r="D326" s="79"/>
      <c r="E326" s="79"/>
      <c r="F326" s="119"/>
      <c r="G326" s="119"/>
      <c r="H326" s="119"/>
      <c r="I326" s="119"/>
      <c r="J326" s="119"/>
      <c r="K326" s="161">
        <f>K320+K319+K321</f>
        <v>21065.878499999999</v>
      </c>
      <c r="L326" s="161">
        <f>L320+L319+L321</f>
        <v>18352.579432916842</v>
      </c>
      <c r="M326" s="161">
        <f>M320+M319+M321</f>
        <v>19536.467730534932</v>
      </c>
      <c r="N326" s="161">
        <f>N320+N319+N321</f>
        <v>20792.575029766867</v>
      </c>
      <c r="O326" s="161">
        <f>O320+O319+O321</f>
        <v>22160.880981684462</v>
      </c>
    </row>
    <row r="327" spans="1:15" hidden="1" outlineLevel="1" x14ac:dyDescent="0.25">
      <c r="A327" s="79"/>
      <c r="B327" s="79"/>
      <c r="C327" s="79"/>
      <c r="D327" s="79"/>
      <c r="E327" s="79"/>
      <c r="F327" s="119"/>
      <c r="G327" s="119"/>
      <c r="H327" s="119"/>
      <c r="I327" s="119"/>
      <c r="J327" s="119"/>
      <c r="K327" s="161"/>
      <c r="L327" s="161"/>
      <c r="M327" s="161"/>
      <c r="N327" s="161"/>
      <c r="O327" s="161"/>
    </row>
    <row r="328" spans="1:15" hidden="1" outlineLevel="1" x14ac:dyDescent="0.25">
      <c r="A328" s="71"/>
      <c r="B328" s="71"/>
      <c r="C328" s="71"/>
      <c r="D328" s="71"/>
      <c r="E328" s="71"/>
      <c r="F328" s="123"/>
      <c r="G328" s="123"/>
      <c r="H328" s="123"/>
      <c r="I328" s="123"/>
      <c r="J328" s="123"/>
      <c r="K328" s="148"/>
      <c r="L328" s="148"/>
      <c r="M328" s="148"/>
      <c r="N328" s="148"/>
      <c r="O328" s="148"/>
    </row>
    <row r="329" spans="1:15" hidden="1" outlineLevel="1" x14ac:dyDescent="0.25">
      <c r="A329" s="71"/>
      <c r="B329" s="72" t="s">
        <v>185</v>
      </c>
      <c r="C329" s="71"/>
      <c r="D329" s="71"/>
      <c r="E329" s="71"/>
      <c r="F329" s="123"/>
      <c r="G329" s="123"/>
      <c r="H329" s="123"/>
      <c r="I329" s="123"/>
      <c r="J329" s="123"/>
      <c r="K329" s="148"/>
      <c r="L329" s="148"/>
      <c r="M329" s="148"/>
      <c r="N329" s="148"/>
      <c r="O329" s="148"/>
    </row>
    <row r="330" spans="1:15" hidden="1" outlineLevel="1" x14ac:dyDescent="0.25">
      <c r="A330" s="71"/>
      <c r="B330" s="71"/>
      <c r="C330" s="71" t="s">
        <v>184</v>
      </c>
      <c r="D330" s="71"/>
      <c r="E330" s="71"/>
      <c r="F330" s="123"/>
      <c r="G330" s="123"/>
      <c r="H330" s="123"/>
      <c r="I330" s="123"/>
      <c r="J330" s="123"/>
      <c r="K330" s="148">
        <f>K323*$E$52</f>
        <v>494.36571896999999</v>
      </c>
      <c r="L330" s="148">
        <f>L323*$E$52</f>
        <v>374.75967202016193</v>
      </c>
      <c r="M330" s="148">
        <f>M323*$E$52</f>
        <v>398.9346710575233</v>
      </c>
      <c r="N330" s="148">
        <f>N323*$E$52</f>
        <v>424.58438210783942</v>
      </c>
      <c r="O330" s="148">
        <f>O323*$E$52</f>
        <v>452.52518964599676</v>
      </c>
    </row>
    <row r="331" spans="1:15" hidden="1" outlineLevel="1" x14ac:dyDescent="0.25">
      <c r="A331" s="71"/>
      <c r="B331" s="71"/>
      <c r="C331" s="71" t="s">
        <v>186</v>
      </c>
      <c r="D331" s="71"/>
      <c r="E331" s="71"/>
      <c r="F331" s="123"/>
      <c r="G331" s="123"/>
      <c r="H331" s="123"/>
      <c r="I331" s="123"/>
      <c r="J331" s="123"/>
      <c r="K331" s="148">
        <f>K323*$E$53</f>
        <v>19642.442822189998</v>
      </c>
      <c r="L331" s="148">
        <f>L323*$E$53</f>
        <v>14890.18179710275</v>
      </c>
      <c r="M331" s="148">
        <f>M323*$E$53</f>
        <v>15850.717728492211</v>
      </c>
      <c r="N331" s="148">
        <f>N323*$E$53</f>
        <v>16869.847824651049</v>
      </c>
      <c r="O331" s="148">
        <f>O323*$E$53</f>
        <v>17980.009175679872</v>
      </c>
    </row>
    <row r="332" spans="1:15" hidden="1" outlineLevel="1" x14ac:dyDescent="0.25">
      <c r="A332" s="71"/>
      <c r="B332" s="71"/>
      <c r="C332" s="71" t="s">
        <v>168</v>
      </c>
      <c r="D332" s="71"/>
      <c r="E332" s="71"/>
      <c r="F332" s="123"/>
      <c r="G332" s="123"/>
      <c r="H332" s="123"/>
      <c r="I332" s="123"/>
      <c r="J332" s="123"/>
      <c r="K332" s="148">
        <f>K323*$E$54</f>
        <v>4073.0699588399998</v>
      </c>
      <c r="L332" s="148">
        <f>L323*$E$54</f>
        <v>3087.6379637939294</v>
      </c>
      <c r="M332" s="148">
        <f>M323*$E$54</f>
        <v>3286.8153309851969</v>
      </c>
      <c r="N332" s="148">
        <f>N323*$E$54</f>
        <v>3498.1428230079778</v>
      </c>
      <c r="O332" s="148">
        <f>O323*$E$54</f>
        <v>3728.346616358594</v>
      </c>
    </row>
    <row r="333" spans="1:15" hidden="1" outlineLevel="1" x14ac:dyDescent="0.25">
      <c r="A333" s="71"/>
      <c r="B333" s="71"/>
      <c r="C333" s="71"/>
      <c r="D333" s="71"/>
      <c r="E333" s="71"/>
      <c r="F333" s="123"/>
      <c r="G333" s="123"/>
      <c r="H333" s="123"/>
      <c r="I333" s="123"/>
      <c r="J333" s="123"/>
      <c r="K333" s="148"/>
      <c r="L333" s="148"/>
      <c r="M333" s="148"/>
      <c r="N333" s="148"/>
      <c r="O333" s="148"/>
    </row>
    <row r="334" spans="1:15" hidden="1" outlineLevel="1" x14ac:dyDescent="0.25">
      <c r="A334" s="71"/>
      <c r="B334" s="71"/>
      <c r="C334" s="71"/>
      <c r="D334" s="71"/>
      <c r="E334" s="71"/>
      <c r="F334" s="123"/>
      <c r="G334" s="123"/>
      <c r="H334" s="123"/>
      <c r="I334" s="123"/>
      <c r="J334" s="123"/>
      <c r="K334" s="148"/>
      <c r="L334" s="148"/>
      <c r="M334" s="148"/>
      <c r="N334" s="148"/>
      <c r="O334" s="148"/>
    </row>
    <row r="335" spans="1:15" hidden="1" outlineLevel="1" x14ac:dyDescent="0.25">
      <c r="A335" s="71"/>
      <c r="B335" s="72" t="s">
        <v>191</v>
      </c>
      <c r="C335" s="71"/>
      <c r="D335" s="71"/>
      <c r="E335" s="71"/>
      <c r="F335" s="123"/>
      <c r="G335" s="123"/>
      <c r="H335" s="123"/>
      <c r="I335" s="123"/>
      <c r="J335" s="123"/>
      <c r="K335" s="148"/>
      <c r="L335" s="148"/>
      <c r="M335" s="148"/>
      <c r="N335" s="148"/>
      <c r="O335" s="148"/>
    </row>
    <row r="336" spans="1:15" hidden="1" outlineLevel="1" x14ac:dyDescent="0.25">
      <c r="A336" s="71"/>
      <c r="B336" s="71"/>
      <c r="C336" s="191" t="s">
        <v>192</v>
      </c>
      <c r="D336" s="71"/>
      <c r="E336" s="71"/>
      <c r="F336" s="123"/>
      <c r="G336" s="123"/>
      <c r="H336" s="123"/>
      <c r="I336" s="123"/>
      <c r="J336" s="123"/>
      <c r="K336" s="148">
        <f>J339</f>
        <v>2663.04</v>
      </c>
      <c r="L336" s="148">
        <f>K339</f>
        <v>11152.741411094999</v>
      </c>
      <c r="M336" s="148">
        <f>L339</f>
        <v>13021.461604098875</v>
      </c>
      <c r="N336" s="148">
        <f>M339</f>
        <v>14436.089666295542</v>
      </c>
      <c r="O336" s="148">
        <f>N339</f>
        <v>15652.968745473296</v>
      </c>
    </row>
    <row r="337" spans="1:15" hidden="1" outlineLevel="1" x14ac:dyDescent="0.25">
      <c r="A337" s="71"/>
      <c r="B337" s="71"/>
      <c r="C337" s="191" t="s">
        <v>193</v>
      </c>
      <c r="D337" s="71"/>
      <c r="E337" s="71"/>
      <c r="F337" s="123"/>
      <c r="G337" s="123"/>
      <c r="H337" s="123"/>
      <c r="I337" s="123"/>
      <c r="J337" s="123"/>
      <c r="K337" s="148">
        <f>K331</f>
        <v>19642.442822189998</v>
      </c>
      <c r="L337" s="148">
        <f>L331</f>
        <v>14890.18179710275</v>
      </c>
      <c r="M337" s="148">
        <f>M331</f>
        <v>15850.717728492211</v>
      </c>
      <c r="N337" s="148">
        <f>N331</f>
        <v>16869.847824651049</v>
      </c>
      <c r="O337" s="148">
        <f>O331</f>
        <v>17980.009175679872</v>
      </c>
    </row>
    <row r="338" spans="1:15" hidden="1" outlineLevel="1" x14ac:dyDescent="0.25">
      <c r="A338" s="71"/>
      <c r="B338" s="71"/>
      <c r="C338" s="191" t="s">
        <v>196</v>
      </c>
      <c r="D338" s="71"/>
      <c r="E338" s="71"/>
      <c r="F338" s="123"/>
      <c r="G338" s="123"/>
      <c r="H338" s="123"/>
      <c r="I338" s="123"/>
      <c r="J338" s="123"/>
      <c r="K338" s="148">
        <f>-((K337+K336)*$J$342)</f>
        <v>-11152.741411094999</v>
      </c>
      <c r="L338" s="148">
        <f>-((L337+L336)*$J$342)</f>
        <v>-13021.461604098875</v>
      </c>
      <c r="M338" s="148">
        <f>-((M337+M336)*$J$342)</f>
        <v>-14436.089666295542</v>
      </c>
      <c r="N338" s="148">
        <f>-((N337+N336)*$J$342)</f>
        <v>-15652.968745473296</v>
      </c>
      <c r="O338" s="148">
        <f>-((O337+O336)*$J$342)</f>
        <v>-16816.488960576586</v>
      </c>
    </row>
    <row r="339" spans="1:15" hidden="1" outlineLevel="1" x14ac:dyDescent="0.25">
      <c r="A339" s="139"/>
      <c r="B339" s="139"/>
      <c r="C339" s="192" t="s">
        <v>194</v>
      </c>
      <c r="D339" s="139"/>
      <c r="E339" s="139"/>
      <c r="F339" s="140"/>
      <c r="G339" s="140"/>
      <c r="H339" s="140"/>
      <c r="I339" s="140"/>
      <c r="J339" s="193">
        <v>2663.04</v>
      </c>
      <c r="K339" s="157">
        <f>SUM(K336:K338)</f>
        <v>11152.741411094999</v>
      </c>
      <c r="L339" s="157">
        <f>SUM(L336:L338)</f>
        <v>13021.461604098875</v>
      </c>
      <c r="M339" s="157">
        <f>SUM(M336:M338)</f>
        <v>14436.089666295542</v>
      </c>
      <c r="N339" s="157">
        <f>SUM(N336:N338)</f>
        <v>15652.968745473296</v>
      </c>
      <c r="O339" s="157">
        <f>SUM(O336:O338)</f>
        <v>16816.488960576586</v>
      </c>
    </row>
    <row r="340" spans="1:15" hidden="1" outlineLevel="1" x14ac:dyDescent="0.25">
      <c r="A340" s="71"/>
      <c r="B340" s="71"/>
      <c r="C340" s="71"/>
      <c r="D340" s="71"/>
      <c r="E340" s="71"/>
      <c r="F340" s="123"/>
      <c r="G340" s="123"/>
      <c r="H340" s="123"/>
      <c r="I340" s="123"/>
      <c r="J340" s="123"/>
      <c r="K340" s="148"/>
      <c r="L340" s="148"/>
      <c r="M340" s="148"/>
      <c r="N340" s="148"/>
      <c r="O340" s="148"/>
    </row>
    <row r="341" spans="1:15" hidden="1" outlineLevel="1" x14ac:dyDescent="0.25">
      <c r="A341" s="71"/>
      <c r="B341" s="71"/>
      <c r="C341" s="71"/>
      <c r="D341" s="71"/>
      <c r="E341" s="71"/>
      <c r="F341" s="123"/>
      <c r="G341" s="123"/>
      <c r="H341" s="123"/>
      <c r="I341" s="123"/>
      <c r="J341" s="123"/>
      <c r="K341" s="148"/>
      <c r="L341" s="148"/>
      <c r="M341" s="148"/>
      <c r="N341" s="148"/>
      <c r="O341" s="148"/>
    </row>
    <row r="342" spans="1:15" hidden="1" outlineLevel="1" x14ac:dyDescent="0.25">
      <c r="A342" s="71"/>
      <c r="B342" s="71"/>
      <c r="C342" s="194" t="s">
        <v>195</v>
      </c>
      <c r="D342" s="71"/>
      <c r="E342" s="71"/>
      <c r="F342" s="123"/>
      <c r="G342" s="123"/>
      <c r="H342" s="123"/>
      <c r="I342" s="123"/>
      <c r="J342" s="195">
        <f>J64</f>
        <v>0.5</v>
      </c>
      <c r="K342" s="148"/>
      <c r="L342" s="148"/>
      <c r="M342" s="148"/>
      <c r="N342" s="148"/>
      <c r="O342" s="148"/>
    </row>
    <row r="343" spans="1:15" hidden="1" outlineLevel="1" x14ac:dyDescent="0.25">
      <c r="A343" s="71"/>
      <c r="B343" s="71"/>
      <c r="C343" s="71"/>
      <c r="D343" s="71"/>
      <c r="E343" s="71"/>
      <c r="F343" s="123"/>
      <c r="G343" s="123"/>
      <c r="H343" s="123"/>
      <c r="I343" s="123"/>
      <c r="J343" s="123"/>
      <c r="K343" s="148"/>
      <c r="L343" s="148"/>
      <c r="M343" s="148"/>
      <c r="N343" s="148"/>
      <c r="O343" s="148"/>
    </row>
    <row r="344" spans="1:15" hidden="1" outlineLevel="1" x14ac:dyDescent="0.25">
      <c r="A344" s="71"/>
      <c r="B344" s="72" t="s">
        <v>176</v>
      </c>
      <c r="C344" s="71"/>
      <c r="D344" s="71"/>
      <c r="E344" s="71"/>
      <c r="F344" s="123"/>
      <c r="G344" s="123"/>
      <c r="H344" s="123"/>
      <c r="I344" s="123"/>
      <c r="J344" s="123"/>
      <c r="K344" s="148"/>
      <c r="L344" s="148"/>
      <c r="M344" s="148"/>
      <c r="N344" s="148"/>
      <c r="O344" s="148"/>
    </row>
    <row r="345" spans="1:15" hidden="1" outlineLevel="1" x14ac:dyDescent="0.25">
      <c r="A345" s="71"/>
      <c r="B345" s="71"/>
      <c r="C345" s="71" t="s">
        <v>180</v>
      </c>
      <c r="D345" s="71"/>
      <c r="E345" s="71"/>
      <c r="F345" s="123"/>
      <c r="G345" s="123"/>
      <c r="H345" s="123"/>
      <c r="I345" s="123"/>
      <c r="J345" s="149">
        <v>8490.0300000000007</v>
      </c>
      <c r="K345" s="148">
        <f>J349</f>
        <v>9434.5</v>
      </c>
      <c r="L345" s="148">
        <f>K349</f>
        <v>9928.8657189700007</v>
      </c>
      <c r="M345" s="148">
        <f>L349</f>
        <v>10303.625390990162</v>
      </c>
      <c r="N345" s="148">
        <f>M349</f>
        <v>10702.560062047685</v>
      </c>
      <c r="O345" s="148">
        <f>N349</f>
        <v>11127.144444155525</v>
      </c>
    </row>
    <row r="346" spans="1:15" hidden="1" outlineLevel="1" x14ac:dyDescent="0.25">
      <c r="A346" s="79"/>
      <c r="B346" s="71"/>
      <c r="C346" s="71" t="s">
        <v>177</v>
      </c>
      <c r="D346" s="71"/>
      <c r="E346" s="71"/>
      <c r="F346" s="123"/>
      <c r="G346" s="123"/>
      <c r="H346" s="123"/>
      <c r="I346" s="123"/>
      <c r="J346" s="149">
        <v>715.07</v>
      </c>
      <c r="K346" s="148">
        <f>K330</f>
        <v>494.36571896999999</v>
      </c>
      <c r="L346" s="148">
        <f>L330</f>
        <v>374.75967202016193</v>
      </c>
      <c r="M346" s="148">
        <f>M330</f>
        <v>398.9346710575233</v>
      </c>
      <c r="N346" s="148">
        <f>N330</f>
        <v>424.58438210783942</v>
      </c>
      <c r="O346" s="148">
        <f>O330</f>
        <v>452.52518964599676</v>
      </c>
    </row>
    <row r="347" spans="1:15" hidden="1" outlineLevel="1" x14ac:dyDescent="0.25">
      <c r="A347" s="79"/>
      <c r="B347" s="71"/>
      <c r="C347" s="71" t="s">
        <v>178</v>
      </c>
      <c r="D347" s="71"/>
      <c r="E347" s="71"/>
      <c r="F347" s="123"/>
      <c r="G347" s="123"/>
      <c r="H347" s="123"/>
      <c r="I347" s="123"/>
      <c r="J347" s="149">
        <v>0</v>
      </c>
      <c r="K347" s="148">
        <f>J347</f>
        <v>0</v>
      </c>
      <c r="L347" s="148">
        <f>K347</f>
        <v>0</v>
      </c>
      <c r="M347" s="148">
        <f>L347</f>
        <v>0</v>
      </c>
      <c r="N347" s="148">
        <f>M347</f>
        <v>0</v>
      </c>
      <c r="O347" s="148">
        <f>N347</f>
        <v>0</v>
      </c>
    </row>
    <row r="348" spans="1:15" hidden="1" outlineLevel="1" x14ac:dyDescent="0.25">
      <c r="A348" s="71"/>
      <c r="B348" s="71"/>
      <c r="C348" s="71" t="s">
        <v>179</v>
      </c>
      <c r="D348" s="71"/>
      <c r="E348" s="71"/>
      <c r="F348" s="123"/>
      <c r="G348" s="123"/>
      <c r="H348" s="123"/>
      <c r="I348" s="123"/>
      <c r="J348" s="149">
        <v>229.4</v>
      </c>
      <c r="K348" s="148">
        <v>0</v>
      </c>
      <c r="L348" s="148">
        <v>0</v>
      </c>
      <c r="M348" s="148">
        <v>0</v>
      </c>
      <c r="N348" s="148">
        <v>0</v>
      </c>
      <c r="O348" s="148">
        <v>0</v>
      </c>
    </row>
    <row r="349" spans="1:15" hidden="1" outlineLevel="1" x14ac:dyDescent="0.25">
      <c r="A349" s="139"/>
      <c r="B349" s="139"/>
      <c r="C349" s="139" t="s">
        <v>181</v>
      </c>
      <c r="D349" s="139"/>
      <c r="E349" s="139"/>
      <c r="F349" s="140"/>
      <c r="G349" s="140"/>
      <c r="H349" s="140"/>
      <c r="I349" s="140"/>
      <c r="J349" s="140">
        <f t="shared" ref="J349:O349" si="32">SUM(J345:J348)</f>
        <v>9434.5</v>
      </c>
      <c r="K349" s="157">
        <f t="shared" si="32"/>
        <v>9928.8657189700007</v>
      </c>
      <c r="L349" s="157">
        <f t="shared" si="32"/>
        <v>10303.625390990162</v>
      </c>
      <c r="M349" s="157">
        <f t="shared" si="32"/>
        <v>10702.560062047685</v>
      </c>
      <c r="N349" s="157">
        <f t="shared" si="32"/>
        <v>11127.144444155525</v>
      </c>
      <c r="O349" s="157">
        <f t="shared" si="32"/>
        <v>11579.669633801521</v>
      </c>
    </row>
    <row r="350" spans="1:15" hidden="1" outlineLevel="1" x14ac:dyDescent="0.25">
      <c r="A350" s="71"/>
      <c r="B350" s="71"/>
      <c r="C350" s="71"/>
      <c r="D350" s="71"/>
      <c r="E350" s="71"/>
      <c r="F350" s="123"/>
      <c r="G350" s="123"/>
      <c r="H350" s="123"/>
      <c r="I350" s="123"/>
      <c r="J350" s="123"/>
      <c r="K350" s="148"/>
      <c r="L350" s="148"/>
      <c r="M350" s="148"/>
      <c r="N350" s="148"/>
      <c r="O350" s="148"/>
    </row>
    <row r="351" spans="1:15" hidden="1" outlineLevel="1" x14ac:dyDescent="0.25">
      <c r="A351" s="71"/>
      <c r="B351" s="71"/>
      <c r="C351" s="71"/>
      <c r="D351" s="71"/>
      <c r="E351" s="71"/>
      <c r="F351" s="123"/>
      <c r="G351" s="123"/>
      <c r="H351" s="123"/>
      <c r="I351" s="123"/>
      <c r="J351" s="123"/>
      <c r="K351" s="148"/>
      <c r="L351" s="148"/>
      <c r="M351" s="148"/>
      <c r="N351" s="148"/>
      <c r="O351" s="148"/>
    </row>
    <row r="352" spans="1:15" hidden="1" outlineLevel="1" x14ac:dyDescent="0.25">
      <c r="A352" s="71"/>
      <c r="B352" s="72" t="s">
        <v>187</v>
      </c>
      <c r="C352" s="71"/>
      <c r="D352" s="71"/>
      <c r="E352" s="71"/>
      <c r="F352" s="123"/>
      <c r="G352" s="123"/>
      <c r="H352" s="123"/>
      <c r="I352" s="123"/>
      <c r="J352" s="123"/>
      <c r="K352" s="148"/>
      <c r="L352" s="148"/>
      <c r="M352" s="148"/>
      <c r="N352" s="148"/>
      <c r="O352" s="148"/>
    </row>
    <row r="353" spans="1:15" hidden="1" outlineLevel="1" x14ac:dyDescent="0.25">
      <c r="A353" s="71"/>
      <c r="B353" s="71"/>
      <c r="C353" s="71" t="s">
        <v>180</v>
      </c>
      <c r="D353" s="71"/>
      <c r="E353" s="71"/>
      <c r="F353" s="123">
        <f>13696.94+38285.07</f>
        <v>51982.01</v>
      </c>
      <c r="G353" s="123">
        <f>F357</f>
        <v>54073.19</v>
      </c>
      <c r="H353" s="123">
        <f t="shared" ref="H353:O353" si="33">G357</f>
        <v>59235.76</v>
      </c>
      <c r="I353" s="123">
        <f t="shared" si="33"/>
        <v>73870.190000000017</v>
      </c>
      <c r="J353" s="123">
        <f t="shared" si="33"/>
        <v>115330.00000000003</v>
      </c>
      <c r="K353" s="148">
        <f t="shared" si="33"/>
        <v>151627.76000000004</v>
      </c>
      <c r="L353" s="148">
        <f t="shared" si="33"/>
        <v>161640.21141109502</v>
      </c>
      <c r="M353" s="148">
        <f t="shared" si="33"/>
        <v>173521.38301519389</v>
      </c>
      <c r="N353" s="148">
        <f t="shared" si="33"/>
        <v>186817.18268148942</v>
      </c>
      <c r="O353" s="148">
        <f t="shared" si="33"/>
        <v>201329.86142696271</v>
      </c>
    </row>
    <row r="354" spans="1:15" hidden="1" outlineLevel="1" x14ac:dyDescent="0.25">
      <c r="A354" s="71"/>
      <c r="B354" s="71"/>
      <c r="C354" s="71" t="s">
        <v>156</v>
      </c>
      <c r="D354" s="71"/>
      <c r="E354" s="71"/>
      <c r="F354" s="123">
        <f>477.72+1629.33</f>
        <v>2107.0500000000002</v>
      </c>
      <c r="G354" s="149">
        <v>8630.36</v>
      </c>
      <c r="H354" s="149">
        <v>16328.37</v>
      </c>
      <c r="I354" s="149">
        <v>42651.75</v>
      </c>
      <c r="J354" s="196">
        <v>30374.19</v>
      </c>
      <c r="K354" s="148">
        <f>-K338</f>
        <v>11152.741411094999</v>
      </c>
      <c r="L354" s="148">
        <f>-L338</f>
        <v>13021.461604098875</v>
      </c>
      <c r="M354" s="148">
        <f>-M338</f>
        <v>14436.089666295542</v>
      </c>
      <c r="N354" s="148">
        <f>-N338</f>
        <v>15652.968745473296</v>
      </c>
      <c r="O354" s="148">
        <f>-O338</f>
        <v>16816.488960576586</v>
      </c>
    </row>
    <row r="355" spans="1:15" hidden="1" outlineLevel="1" x14ac:dyDescent="0.25">
      <c r="A355" s="71"/>
      <c r="B355" s="71"/>
      <c r="C355" s="71" t="s">
        <v>157</v>
      </c>
      <c r="D355" s="71"/>
      <c r="E355" s="71"/>
      <c r="F355" s="123">
        <f>-0.3-631.77</f>
        <v>-632.06999999999994</v>
      </c>
      <c r="G355" s="149">
        <v>-1577.68</v>
      </c>
      <c r="H355" s="149">
        <v>-1638.04</v>
      </c>
      <c r="I355" s="149">
        <v>-1599.26</v>
      </c>
      <c r="J355" s="196">
        <v>-254.4</v>
      </c>
      <c r="K355" s="148">
        <f>$J$374</f>
        <v>-1140.29</v>
      </c>
      <c r="L355" s="148">
        <f>$J$374</f>
        <v>-1140.29</v>
      </c>
      <c r="M355" s="148">
        <f>$J$374</f>
        <v>-1140.29</v>
      </c>
      <c r="N355" s="148">
        <f>$J$374</f>
        <v>-1140.29</v>
      </c>
      <c r="O355" s="148">
        <f>$J$374</f>
        <v>-1140.29</v>
      </c>
    </row>
    <row r="356" spans="1:15" hidden="1" outlineLevel="1" x14ac:dyDescent="0.25">
      <c r="A356" s="71"/>
      <c r="B356" s="71"/>
      <c r="C356" s="71" t="s">
        <v>158</v>
      </c>
      <c r="D356" s="71"/>
      <c r="E356" s="71"/>
      <c r="F356" s="123">
        <f>240.58+375.62</f>
        <v>616.20000000000005</v>
      </c>
      <c r="G356" s="149">
        <v>-1890.11</v>
      </c>
      <c r="H356" s="149">
        <v>-55.9</v>
      </c>
      <c r="I356" s="149">
        <v>407.32</v>
      </c>
      <c r="J356" s="196">
        <v>6177.97</v>
      </c>
      <c r="K356" s="148">
        <v>0</v>
      </c>
      <c r="L356" s="148">
        <v>0</v>
      </c>
      <c r="M356" s="148">
        <v>0</v>
      </c>
      <c r="N356" s="148">
        <v>0</v>
      </c>
      <c r="O356" s="148">
        <v>0</v>
      </c>
    </row>
    <row r="357" spans="1:15" hidden="1" outlineLevel="1" x14ac:dyDescent="0.25">
      <c r="A357" s="139"/>
      <c r="B357" s="139"/>
      <c r="C357" s="139" t="s">
        <v>188</v>
      </c>
      <c r="D357" s="139"/>
      <c r="E357" s="193">
        <v>52231.45</v>
      </c>
      <c r="F357" s="140">
        <f t="shared" ref="F357:O357" si="34">SUM(F353:F356)</f>
        <v>54073.19</v>
      </c>
      <c r="G357" s="140">
        <f t="shared" si="34"/>
        <v>59235.76</v>
      </c>
      <c r="H357" s="140">
        <f t="shared" si="34"/>
        <v>73870.190000000017</v>
      </c>
      <c r="I357" s="140">
        <f t="shared" si="34"/>
        <v>115330.00000000003</v>
      </c>
      <c r="J357" s="140">
        <f t="shared" si="34"/>
        <v>151627.76000000004</v>
      </c>
      <c r="K357" s="157">
        <f t="shared" si="34"/>
        <v>161640.21141109502</v>
      </c>
      <c r="L357" s="157">
        <f t="shared" si="34"/>
        <v>173521.38301519389</v>
      </c>
      <c r="M357" s="157">
        <f t="shared" si="34"/>
        <v>186817.18268148942</v>
      </c>
      <c r="N357" s="157">
        <f t="shared" si="34"/>
        <v>201329.86142696271</v>
      </c>
      <c r="O357" s="157">
        <f t="shared" si="34"/>
        <v>217006.0603875393</v>
      </c>
    </row>
    <row r="358" spans="1:15" hidden="1" outlineLevel="1" x14ac:dyDescent="0.25">
      <c r="A358" s="79"/>
      <c r="B358" s="79"/>
      <c r="C358" s="79"/>
      <c r="D358" s="79"/>
      <c r="E358" s="79"/>
      <c r="F358" s="119"/>
      <c r="G358" s="119"/>
      <c r="H358" s="119"/>
      <c r="I358" s="119"/>
      <c r="J358" s="119"/>
      <c r="K358" s="161"/>
      <c r="L358" s="161"/>
      <c r="M358" s="161"/>
      <c r="N358" s="161"/>
      <c r="O358" s="161"/>
    </row>
    <row r="359" spans="1:15" hidden="1" outlineLevel="1" x14ac:dyDescent="0.25">
      <c r="A359" s="79"/>
      <c r="B359" s="79"/>
      <c r="C359" s="71" t="s">
        <v>159</v>
      </c>
      <c r="D359" s="71"/>
      <c r="E359" s="123"/>
      <c r="F359" s="149">
        <v>13600.31</v>
      </c>
      <c r="G359" s="149">
        <v>16338.48</v>
      </c>
      <c r="H359" s="149">
        <v>19127.47</v>
      </c>
      <c r="I359" s="149">
        <v>24503.34</v>
      </c>
      <c r="J359" s="149">
        <v>29855.97</v>
      </c>
      <c r="K359" s="161">
        <f>J363</f>
        <v>38377.39</v>
      </c>
      <c r="L359" s="161">
        <f>K363</f>
        <v>47210.58350660334</v>
      </c>
      <c r="M359" s="161">
        <f>L363</f>
        <v>56695.033978594511</v>
      </c>
      <c r="N359" s="161">
        <f>M363</f>
        <v>66928.409281155502</v>
      </c>
      <c r="O359" s="161">
        <f>N363</f>
        <v>77988.987338141073</v>
      </c>
    </row>
    <row r="360" spans="1:15" hidden="1" outlineLevel="1" x14ac:dyDescent="0.25">
      <c r="A360" s="79"/>
      <c r="B360" s="79"/>
      <c r="C360" s="71" t="s">
        <v>160</v>
      </c>
      <c r="D360" s="71"/>
      <c r="E360" s="123"/>
      <c r="F360" s="149">
        <v>2990.4</v>
      </c>
      <c r="G360" s="149">
        <v>3397.29</v>
      </c>
      <c r="H360" s="149">
        <v>4098.2700000000004</v>
      </c>
      <c r="I360" s="149">
        <v>5996.07</v>
      </c>
      <c r="J360" s="196">
        <v>7511.63</v>
      </c>
      <c r="K360" s="161">
        <f>K371</f>
        <v>9318.6015066033433</v>
      </c>
      <c r="L360" s="161">
        <f>L371</f>
        <v>9969.8584719911723</v>
      </c>
      <c r="M360" s="161">
        <f>M371</f>
        <v>10718.783302560994</v>
      </c>
      <c r="N360" s="161">
        <f>N371</f>
        <v>11545.986056985566</v>
      </c>
      <c r="O360" s="161">
        <f>O371</f>
        <v>12443.997175093431</v>
      </c>
    </row>
    <row r="361" spans="1:15" hidden="1" outlineLevel="1" x14ac:dyDescent="0.25">
      <c r="A361" s="79"/>
      <c r="B361" s="79"/>
      <c r="C361" s="71" t="s">
        <v>161</v>
      </c>
      <c r="D361" s="71"/>
      <c r="E361" s="123"/>
      <c r="F361" s="149">
        <v>-333.07</v>
      </c>
      <c r="G361" s="149">
        <v>-592.48</v>
      </c>
      <c r="H361" s="149">
        <v>-564.9</v>
      </c>
      <c r="I361" s="149">
        <v>-792.62</v>
      </c>
      <c r="J361" s="196">
        <v>-143.97</v>
      </c>
      <c r="K361" s="161">
        <f>$J$376</f>
        <v>-485.4079999999999</v>
      </c>
      <c r="L361" s="161">
        <f>$J$376</f>
        <v>-485.4079999999999</v>
      </c>
      <c r="M361" s="161">
        <f>$J$376</f>
        <v>-485.4079999999999</v>
      </c>
      <c r="N361" s="161">
        <f>$J$376</f>
        <v>-485.4079999999999</v>
      </c>
      <c r="O361" s="161">
        <f>$J$376</f>
        <v>-485.4079999999999</v>
      </c>
    </row>
    <row r="362" spans="1:15" hidden="1" outlineLevel="1" x14ac:dyDescent="0.25">
      <c r="A362" s="79"/>
      <c r="B362" s="79"/>
      <c r="C362" s="71" t="s">
        <v>158</v>
      </c>
      <c r="D362" s="71"/>
      <c r="E362" s="123"/>
      <c r="F362" s="149">
        <v>80.84</v>
      </c>
      <c r="G362" s="149">
        <v>-486.44</v>
      </c>
      <c r="H362" s="149">
        <v>57.3</v>
      </c>
      <c r="I362" s="149">
        <v>149.18</v>
      </c>
      <c r="J362" s="197">
        <v>1153.76</v>
      </c>
      <c r="K362" s="161">
        <v>0</v>
      </c>
      <c r="L362" s="161">
        <v>0</v>
      </c>
      <c r="M362" s="161">
        <v>0</v>
      </c>
      <c r="N362" s="161">
        <v>0</v>
      </c>
      <c r="O362" s="161">
        <v>0</v>
      </c>
    </row>
    <row r="363" spans="1:15" hidden="1" outlineLevel="1" x14ac:dyDescent="0.25">
      <c r="A363" s="139"/>
      <c r="B363" s="139"/>
      <c r="C363" s="139" t="s">
        <v>162</v>
      </c>
      <c r="D363" s="139"/>
      <c r="E363" s="139"/>
      <c r="F363" s="140">
        <f t="shared" ref="F363:O363" si="35">SUM(F359:F362)</f>
        <v>16338.48</v>
      </c>
      <c r="G363" s="140">
        <f t="shared" si="35"/>
        <v>18656.850000000002</v>
      </c>
      <c r="H363" s="140">
        <f t="shared" si="35"/>
        <v>22718.14</v>
      </c>
      <c r="I363" s="140">
        <f t="shared" si="35"/>
        <v>29855.97</v>
      </c>
      <c r="J363" s="140">
        <f t="shared" si="35"/>
        <v>38377.39</v>
      </c>
      <c r="K363" s="157">
        <f t="shared" si="35"/>
        <v>47210.58350660334</v>
      </c>
      <c r="L363" s="157">
        <f t="shared" si="35"/>
        <v>56695.033978594511</v>
      </c>
      <c r="M363" s="157">
        <f t="shared" si="35"/>
        <v>66928.409281155502</v>
      </c>
      <c r="N363" s="157">
        <f t="shared" si="35"/>
        <v>77988.987338141073</v>
      </c>
      <c r="O363" s="157">
        <f t="shared" si="35"/>
        <v>89947.576513234511</v>
      </c>
    </row>
    <row r="364" spans="1:15" hidden="1" outlineLevel="1" x14ac:dyDescent="0.25">
      <c r="A364" s="79"/>
      <c r="B364" s="79"/>
      <c r="C364" s="79"/>
      <c r="D364" s="79"/>
      <c r="E364" s="79"/>
      <c r="F364" s="119"/>
      <c r="G364" s="119"/>
      <c r="H364" s="119"/>
      <c r="I364" s="119"/>
      <c r="J364" s="119"/>
      <c r="K364" s="161"/>
      <c r="L364" s="161"/>
      <c r="M364" s="161"/>
      <c r="N364" s="161"/>
      <c r="O364" s="161"/>
    </row>
    <row r="365" spans="1:15" hidden="1" outlineLevel="1" x14ac:dyDescent="0.25">
      <c r="A365" s="79"/>
      <c r="B365" s="79"/>
      <c r="C365" s="187" t="s">
        <v>163</v>
      </c>
      <c r="D365" s="79"/>
      <c r="E365" s="79"/>
      <c r="F365" s="119"/>
      <c r="G365" s="119"/>
      <c r="H365" s="119"/>
      <c r="I365" s="119"/>
      <c r="J365" s="119"/>
      <c r="K365" s="161">
        <f>K357-K363</f>
        <v>114429.62790449167</v>
      </c>
      <c r="L365" s="161">
        <f>L357-L363</f>
        <v>116826.34903659938</v>
      </c>
      <c r="M365" s="161">
        <f>M357-M363</f>
        <v>119888.77340033391</v>
      </c>
      <c r="N365" s="161">
        <f>N357-N363</f>
        <v>123340.87408882164</v>
      </c>
      <c r="O365" s="161">
        <f>O357-O363</f>
        <v>127058.48387430479</v>
      </c>
    </row>
    <row r="366" spans="1:15" hidden="1" outlineLevel="1" x14ac:dyDescent="0.25">
      <c r="A366" s="79"/>
      <c r="B366" s="79"/>
      <c r="C366" s="79"/>
      <c r="D366" s="79"/>
      <c r="E366" s="79"/>
      <c r="F366" s="119"/>
      <c r="G366" s="119"/>
      <c r="H366" s="119"/>
      <c r="I366" s="119"/>
      <c r="J366" s="119"/>
      <c r="K366" s="161"/>
      <c r="L366" s="161"/>
      <c r="M366" s="161"/>
      <c r="N366" s="161"/>
      <c r="O366" s="161"/>
    </row>
    <row r="367" spans="1:15" hidden="1" outlineLevel="1" x14ac:dyDescent="0.25">
      <c r="A367" s="79"/>
      <c r="B367" s="79"/>
      <c r="C367" s="127" t="s">
        <v>197</v>
      </c>
      <c r="D367" s="79"/>
      <c r="E367" s="79"/>
      <c r="F367" s="119">
        <f t="shared" ref="F367:O367" si="36">(F357+E357)/2</f>
        <v>53152.32</v>
      </c>
      <c r="G367" s="119">
        <f t="shared" si="36"/>
        <v>56654.475000000006</v>
      </c>
      <c r="H367" s="119">
        <f t="shared" si="36"/>
        <v>66552.975000000006</v>
      </c>
      <c r="I367" s="119">
        <f t="shared" si="36"/>
        <v>94600.09500000003</v>
      </c>
      <c r="J367" s="119">
        <f t="shared" si="36"/>
        <v>133478.88000000003</v>
      </c>
      <c r="K367" s="161">
        <f t="shared" si="36"/>
        <v>156633.98570554753</v>
      </c>
      <c r="L367" s="161">
        <f t="shared" si="36"/>
        <v>167580.79721314445</v>
      </c>
      <c r="M367" s="161">
        <f t="shared" si="36"/>
        <v>180169.28284834165</v>
      </c>
      <c r="N367" s="161">
        <f t="shared" si="36"/>
        <v>194073.52205422608</v>
      </c>
      <c r="O367" s="161">
        <f t="shared" si="36"/>
        <v>209167.96090725099</v>
      </c>
    </row>
    <row r="368" spans="1:15" hidden="1" outlineLevel="1" x14ac:dyDescent="0.25">
      <c r="A368" s="79"/>
      <c r="B368" s="79"/>
      <c r="C368" s="127" t="s">
        <v>198</v>
      </c>
      <c r="D368" s="79"/>
      <c r="E368" s="79"/>
      <c r="F368" s="119">
        <f>F360</f>
        <v>2990.4</v>
      </c>
      <c r="G368" s="119">
        <f>G360</f>
        <v>3397.29</v>
      </c>
      <c r="H368" s="119">
        <f>H360</f>
        <v>4098.2700000000004</v>
      </c>
      <c r="I368" s="119">
        <f>I360</f>
        <v>5996.07</v>
      </c>
      <c r="J368" s="119">
        <f>J360</f>
        <v>7511.63</v>
      </c>
      <c r="K368" s="161"/>
      <c r="L368" s="161"/>
      <c r="M368" s="161"/>
      <c r="N368" s="161"/>
      <c r="O368" s="161"/>
    </row>
    <row r="369" spans="1:15" hidden="1" outlineLevel="1" x14ac:dyDescent="0.25">
      <c r="A369" s="139"/>
      <c r="B369" s="139"/>
      <c r="C369" s="139" t="s">
        <v>199</v>
      </c>
      <c r="D369" s="139"/>
      <c r="E369" s="139"/>
      <c r="F369" s="198">
        <f>F368/F367</f>
        <v>5.6260949663156756E-2</v>
      </c>
      <c r="G369" s="198">
        <f>G368/G367</f>
        <v>5.9965077780704874E-2</v>
      </c>
      <c r="H369" s="198">
        <f>H368/H367</f>
        <v>6.157906539865423E-2</v>
      </c>
      <c r="I369" s="198">
        <f>I368/I367</f>
        <v>6.338334015415098E-2</v>
      </c>
      <c r="J369" s="198">
        <f>J368/J367</f>
        <v>5.6275794342895279E-2</v>
      </c>
      <c r="K369" s="157"/>
      <c r="L369" s="157"/>
      <c r="M369" s="157"/>
      <c r="N369" s="157"/>
      <c r="O369" s="157"/>
    </row>
    <row r="370" spans="1:15" hidden="1" outlineLevel="1" x14ac:dyDescent="0.25">
      <c r="A370" s="71"/>
      <c r="B370" s="71"/>
      <c r="C370" s="127" t="s">
        <v>200</v>
      </c>
      <c r="D370" s="71"/>
      <c r="E370" s="71"/>
      <c r="F370" s="123"/>
      <c r="G370" s="123"/>
      <c r="H370" s="123"/>
      <c r="I370" s="123"/>
      <c r="J370" s="190">
        <f>AVERAGE(F369:J369)</f>
        <v>5.9492845467912427E-2</v>
      </c>
      <c r="K370" s="148"/>
      <c r="L370" s="148"/>
      <c r="M370" s="148"/>
      <c r="N370" s="148"/>
      <c r="O370" s="148"/>
    </row>
    <row r="371" spans="1:15" hidden="1" outlineLevel="1" x14ac:dyDescent="0.25">
      <c r="A371" s="71"/>
      <c r="B371" s="71"/>
      <c r="C371" s="127" t="s">
        <v>201</v>
      </c>
      <c r="D371" s="71"/>
      <c r="E371" s="71"/>
      <c r="F371" s="123"/>
      <c r="G371" s="123"/>
      <c r="H371" s="123"/>
      <c r="I371" s="123"/>
      <c r="J371" s="123"/>
      <c r="K371" s="148">
        <f>K367*$J$370</f>
        <v>9318.6015066033433</v>
      </c>
      <c r="L371" s="148">
        <f>L367*$J$370</f>
        <v>9969.8584719911723</v>
      </c>
      <c r="M371" s="148">
        <f>M367*$J$370</f>
        <v>10718.783302560994</v>
      </c>
      <c r="N371" s="148">
        <f>N367*$J$370</f>
        <v>11545.986056985566</v>
      </c>
      <c r="O371" s="148">
        <f>O367*$J$370</f>
        <v>12443.997175093431</v>
      </c>
    </row>
    <row r="372" spans="1:15" hidden="1" outlineLevel="1" x14ac:dyDescent="0.25">
      <c r="A372" s="71"/>
      <c r="B372" s="71"/>
      <c r="C372" s="71"/>
      <c r="D372" s="71"/>
      <c r="E372" s="71"/>
      <c r="F372" s="123"/>
      <c r="G372" s="123"/>
      <c r="H372" s="123"/>
      <c r="I372" s="123"/>
      <c r="J372" s="123"/>
      <c r="K372" s="148"/>
      <c r="L372" s="148"/>
      <c r="M372" s="148"/>
      <c r="N372" s="148"/>
      <c r="O372" s="148"/>
    </row>
    <row r="373" spans="1:15" hidden="1" outlineLevel="1" x14ac:dyDescent="0.25">
      <c r="A373" s="71"/>
      <c r="B373" s="71"/>
      <c r="C373" s="71" t="s">
        <v>189</v>
      </c>
      <c r="D373" s="71"/>
      <c r="E373" s="71"/>
      <c r="F373" s="123">
        <f>F355</f>
        <v>-632.06999999999994</v>
      </c>
      <c r="G373" s="123">
        <f>G355</f>
        <v>-1577.68</v>
      </c>
      <c r="H373" s="123">
        <f>H355</f>
        <v>-1638.04</v>
      </c>
      <c r="I373" s="123">
        <f>I355</f>
        <v>-1599.26</v>
      </c>
      <c r="J373" s="123">
        <f>J355</f>
        <v>-254.4</v>
      </c>
      <c r="K373" s="148"/>
      <c r="L373" s="148"/>
      <c r="M373" s="148"/>
      <c r="N373" s="148"/>
      <c r="O373" s="148"/>
    </row>
    <row r="374" spans="1:15" hidden="1" outlineLevel="1" x14ac:dyDescent="0.25">
      <c r="A374" s="71"/>
      <c r="B374" s="71"/>
      <c r="C374" s="71" t="s">
        <v>190</v>
      </c>
      <c r="D374" s="71"/>
      <c r="E374" s="71"/>
      <c r="F374" s="123"/>
      <c r="G374" s="123"/>
      <c r="H374" s="123"/>
      <c r="I374" s="123"/>
      <c r="J374" s="123">
        <f>AVERAGE(F373:J373)</f>
        <v>-1140.29</v>
      </c>
      <c r="K374" s="148"/>
      <c r="L374" s="148"/>
      <c r="M374" s="148"/>
      <c r="N374" s="148"/>
      <c r="O374" s="148"/>
    </row>
    <row r="375" spans="1:15" hidden="1" outlineLevel="1" x14ac:dyDescent="0.25">
      <c r="A375" s="71"/>
      <c r="B375" s="71"/>
      <c r="C375" s="71" t="s">
        <v>161</v>
      </c>
      <c r="D375" s="71"/>
      <c r="E375" s="71"/>
      <c r="F375" s="123">
        <f>F361</f>
        <v>-333.07</v>
      </c>
      <c r="G375" s="123">
        <f>G361</f>
        <v>-592.48</v>
      </c>
      <c r="H375" s="123">
        <f>H361</f>
        <v>-564.9</v>
      </c>
      <c r="I375" s="123">
        <f>I361</f>
        <v>-792.62</v>
      </c>
      <c r="J375" s="123">
        <f>J361</f>
        <v>-143.97</v>
      </c>
      <c r="K375" s="148"/>
      <c r="L375" s="148"/>
      <c r="M375" s="148"/>
      <c r="N375" s="148"/>
      <c r="O375" s="148"/>
    </row>
    <row r="376" spans="1:15" hidden="1" outlineLevel="1" x14ac:dyDescent="0.25">
      <c r="A376" s="71"/>
      <c r="B376" s="71"/>
      <c r="C376" s="71" t="s">
        <v>190</v>
      </c>
      <c r="D376" s="71"/>
      <c r="E376" s="71"/>
      <c r="F376" s="123"/>
      <c r="G376" s="123"/>
      <c r="H376" s="123"/>
      <c r="I376" s="123"/>
      <c r="J376" s="123">
        <f>AVERAGE(F375:J375)</f>
        <v>-485.4079999999999</v>
      </c>
      <c r="K376" s="148"/>
      <c r="L376" s="148"/>
      <c r="M376" s="148"/>
      <c r="N376" s="148"/>
      <c r="O376" s="148"/>
    </row>
    <row r="377" spans="1:15" hidden="1" outlineLevel="1" x14ac:dyDescent="0.25">
      <c r="A377" s="71"/>
      <c r="B377" s="71"/>
      <c r="C377" s="71"/>
      <c r="D377" s="71"/>
      <c r="E377" s="71"/>
      <c r="F377" s="123"/>
      <c r="G377" s="123"/>
      <c r="H377" s="123"/>
      <c r="I377" s="123"/>
      <c r="J377" s="123"/>
      <c r="K377" s="148"/>
      <c r="L377" s="148"/>
      <c r="M377" s="148"/>
      <c r="N377" s="148"/>
      <c r="O377" s="148"/>
    </row>
    <row r="378" spans="1:15" hidden="1" outlineLevel="1" x14ac:dyDescent="0.25">
      <c r="A378" s="71"/>
      <c r="B378" s="71"/>
      <c r="C378" s="71"/>
      <c r="D378" s="71"/>
      <c r="E378" s="71"/>
      <c r="F378" s="123"/>
      <c r="G378" s="123"/>
      <c r="H378" s="123"/>
      <c r="I378" s="123"/>
      <c r="J378" s="123"/>
      <c r="K378" s="148"/>
      <c r="L378" s="148"/>
      <c r="M378" s="148"/>
      <c r="N378" s="148"/>
      <c r="O378" s="148"/>
    </row>
    <row r="379" spans="1:15" hidden="1" outlineLevel="1" x14ac:dyDescent="0.25">
      <c r="A379" s="71"/>
      <c r="B379" s="72" t="s">
        <v>168</v>
      </c>
      <c r="C379" s="71"/>
      <c r="D379" s="71"/>
      <c r="E379" s="71"/>
      <c r="F379" s="123"/>
      <c r="G379" s="123"/>
      <c r="H379" s="123"/>
      <c r="I379" s="123"/>
      <c r="J379" s="123"/>
      <c r="K379" s="148"/>
      <c r="L379" s="148"/>
      <c r="M379" s="148"/>
      <c r="N379" s="148"/>
      <c r="O379" s="148"/>
    </row>
    <row r="380" spans="1:15" hidden="1" outlineLevel="1" x14ac:dyDescent="0.25">
      <c r="A380" s="71"/>
      <c r="B380" s="71"/>
      <c r="C380" s="71" t="s">
        <v>180</v>
      </c>
      <c r="D380" s="71"/>
      <c r="E380" s="71"/>
      <c r="F380" s="199">
        <v>18687.43</v>
      </c>
      <c r="G380" s="199">
        <v>19612.919999999998</v>
      </c>
      <c r="H380" s="199">
        <v>20492.099999999999</v>
      </c>
      <c r="I380" s="199">
        <v>23717.9</v>
      </c>
      <c r="J380" s="199">
        <v>30143.23</v>
      </c>
      <c r="K380" s="148">
        <f>J384</f>
        <v>36941.699999999997</v>
      </c>
      <c r="L380" s="148">
        <f>K384</f>
        <v>40187.471958839997</v>
      </c>
      <c r="M380" s="148">
        <f>L384</f>
        <v>42447.811922633926</v>
      </c>
      <c r="N380" s="148">
        <f>M384</f>
        <v>44907.329253619122</v>
      </c>
      <c r="O380" s="148">
        <f>N384</f>
        <v>47578.174076627096</v>
      </c>
    </row>
    <row r="381" spans="1:15" hidden="1" outlineLevel="1" x14ac:dyDescent="0.25">
      <c r="A381" s="71"/>
      <c r="B381" s="71"/>
      <c r="C381" s="71" t="s">
        <v>156</v>
      </c>
      <c r="D381" s="71"/>
      <c r="E381" s="71"/>
      <c r="F381" s="199">
        <v>1256.8399999999999</v>
      </c>
      <c r="G381" s="199">
        <v>2264</v>
      </c>
      <c r="H381" s="199">
        <v>4731.99</v>
      </c>
      <c r="I381" s="199">
        <v>7090.55</v>
      </c>
      <c r="J381" s="200">
        <v>5616.25</v>
      </c>
      <c r="K381" s="148">
        <f>K332</f>
        <v>4073.0699588399998</v>
      </c>
      <c r="L381" s="148">
        <f>L332</f>
        <v>3087.6379637939294</v>
      </c>
      <c r="M381" s="148">
        <f>M332</f>
        <v>3286.8153309851969</v>
      </c>
      <c r="N381" s="148">
        <f>N332</f>
        <v>3498.1428230079778</v>
      </c>
      <c r="O381" s="148">
        <f>O332</f>
        <v>3728.346616358594</v>
      </c>
    </row>
    <row r="382" spans="1:15" hidden="1" outlineLevel="1" x14ac:dyDescent="0.25">
      <c r="A382" s="71"/>
      <c r="B382" s="71"/>
      <c r="C382" s="71" t="s">
        <v>157</v>
      </c>
      <c r="D382" s="71"/>
      <c r="E382" s="71"/>
      <c r="F382" s="199">
        <v>-514.29</v>
      </c>
      <c r="G382" s="199">
        <v>-780.44</v>
      </c>
      <c r="H382" s="199">
        <v>-1380.49</v>
      </c>
      <c r="I382" s="199">
        <v>-902.17</v>
      </c>
      <c r="J382" s="200">
        <v>-559.1</v>
      </c>
      <c r="K382" s="148">
        <f>$J$401</f>
        <v>-827.29800000000012</v>
      </c>
      <c r="L382" s="148">
        <f>$J$401</f>
        <v>-827.29800000000012</v>
      </c>
      <c r="M382" s="148">
        <f>$J$401</f>
        <v>-827.29800000000012</v>
      </c>
      <c r="N382" s="148">
        <f>$J$401</f>
        <v>-827.29800000000012</v>
      </c>
      <c r="O382" s="148">
        <f>$J$401</f>
        <v>-827.29800000000012</v>
      </c>
    </row>
    <row r="383" spans="1:15" hidden="1" outlineLevel="1" x14ac:dyDescent="0.25">
      <c r="A383" s="71"/>
      <c r="B383" s="71"/>
      <c r="C383" s="71" t="s">
        <v>158</v>
      </c>
      <c r="D383" s="71"/>
      <c r="E383" s="71"/>
      <c r="F383" s="199">
        <v>182.94</v>
      </c>
      <c r="G383" s="199">
        <v>-604.38</v>
      </c>
      <c r="H383" s="199">
        <v>-125.7</v>
      </c>
      <c r="I383" s="199">
        <v>236.95</v>
      </c>
      <c r="J383" s="201">
        <v>1741.32</v>
      </c>
      <c r="K383" s="148"/>
      <c r="L383" s="148"/>
      <c r="M383" s="148"/>
      <c r="N383" s="148"/>
      <c r="O383" s="148"/>
    </row>
    <row r="384" spans="1:15" hidden="1" outlineLevel="1" x14ac:dyDescent="0.25">
      <c r="A384" s="139"/>
      <c r="B384" s="139"/>
      <c r="C384" s="139" t="s">
        <v>188</v>
      </c>
      <c r="D384" s="139"/>
      <c r="E384" s="193">
        <v>18838.75</v>
      </c>
      <c r="F384" s="140">
        <f t="shared" ref="F384:O384" si="37">SUM(F380:F383)</f>
        <v>19612.919999999998</v>
      </c>
      <c r="G384" s="140">
        <f t="shared" si="37"/>
        <v>20492.099999999999</v>
      </c>
      <c r="H384" s="140">
        <f t="shared" si="37"/>
        <v>23717.899999999994</v>
      </c>
      <c r="I384" s="140">
        <f t="shared" si="37"/>
        <v>30143.230000000003</v>
      </c>
      <c r="J384" s="140">
        <f t="shared" si="37"/>
        <v>36941.699999999997</v>
      </c>
      <c r="K384" s="157">
        <f t="shared" si="37"/>
        <v>40187.471958839997</v>
      </c>
      <c r="L384" s="157">
        <f t="shared" si="37"/>
        <v>42447.811922633926</v>
      </c>
      <c r="M384" s="157">
        <f t="shared" si="37"/>
        <v>44907.329253619122</v>
      </c>
      <c r="N384" s="157">
        <f t="shared" si="37"/>
        <v>47578.174076627096</v>
      </c>
      <c r="O384" s="157">
        <f t="shared" si="37"/>
        <v>50479.222692985684</v>
      </c>
    </row>
    <row r="385" spans="1:15" hidden="1" outlineLevel="1" x14ac:dyDescent="0.25">
      <c r="A385" s="71"/>
      <c r="B385" s="71"/>
      <c r="C385" s="71"/>
      <c r="D385" s="71"/>
      <c r="E385" s="71"/>
      <c r="F385" s="123"/>
      <c r="G385" s="123"/>
      <c r="H385" s="123"/>
      <c r="I385" s="123"/>
      <c r="J385" s="123"/>
      <c r="K385" s="148"/>
      <c r="L385" s="148"/>
      <c r="M385" s="148"/>
      <c r="N385" s="148"/>
      <c r="O385" s="148"/>
    </row>
    <row r="386" spans="1:15" hidden="1" outlineLevel="1" x14ac:dyDescent="0.25">
      <c r="A386" s="71"/>
      <c r="B386" s="71"/>
      <c r="C386" s="71" t="s">
        <v>159</v>
      </c>
      <c r="D386" s="71"/>
      <c r="E386" s="71"/>
      <c r="F386" s="149">
        <v>11261.02</v>
      </c>
      <c r="G386" s="149">
        <v>12999.05</v>
      </c>
      <c r="H386" s="149">
        <v>13982.21</v>
      </c>
      <c r="I386" s="149">
        <v>15951.73</v>
      </c>
      <c r="J386" s="149">
        <v>17881.78</v>
      </c>
      <c r="K386" s="148">
        <f>J390</f>
        <v>21252.899999999998</v>
      </c>
      <c r="L386" s="148">
        <f>K390</f>
        <v>24442.887926313495</v>
      </c>
      <c r="M386" s="148">
        <f>L390</f>
        <v>27903.007184857252</v>
      </c>
      <c r="N386" s="148">
        <f>M390</f>
        <v>31594.683912063123</v>
      </c>
      <c r="O386" s="148">
        <f>N390</f>
        <v>35538.057586762021</v>
      </c>
    </row>
    <row r="387" spans="1:15" hidden="1" outlineLevel="1" x14ac:dyDescent="0.25">
      <c r="A387" s="71"/>
      <c r="B387" s="71"/>
      <c r="C387" s="71" t="s">
        <v>160</v>
      </c>
      <c r="D387" s="71"/>
      <c r="E387" s="71"/>
      <c r="F387" s="149">
        <v>2047.14</v>
      </c>
      <c r="G387" s="149">
        <v>1959.46</v>
      </c>
      <c r="H387" s="149">
        <v>2310.77</v>
      </c>
      <c r="I387" s="149">
        <v>2390.88</v>
      </c>
      <c r="J387" s="196">
        <v>3122.54</v>
      </c>
      <c r="K387" s="148">
        <f>K398</f>
        <v>3783.9779263134974</v>
      </c>
      <c r="L387" s="148">
        <f>L398</f>
        <v>4054.1092585437586</v>
      </c>
      <c r="M387" s="148">
        <f>M398</f>
        <v>4285.6667272058739</v>
      </c>
      <c r="N387" s="148">
        <f>N398</f>
        <v>4537.363674698895</v>
      </c>
      <c r="O387" s="148">
        <f>O398</f>
        <v>4810.7222658372193</v>
      </c>
    </row>
    <row r="388" spans="1:15" hidden="1" outlineLevel="1" x14ac:dyDescent="0.25">
      <c r="A388" s="71"/>
      <c r="B388" s="71"/>
      <c r="C388" s="71" t="s">
        <v>161</v>
      </c>
      <c r="D388" s="71"/>
      <c r="E388" s="71"/>
      <c r="F388" s="149">
        <v>-370.06</v>
      </c>
      <c r="G388" s="149">
        <v>-614.48</v>
      </c>
      <c r="H388" s="149">
        <v>-968.01</v>
      </c>
      <c r="I388" s="149">
        <v>-561.07000000000005</v>
      </c>
      <c r="J388" s="196">
        <v>-456.33</v>
      </c>
      <c r="K388" s="148">
        <f>$J$403</f>
        <v>-593.99</v>
      </c>
      <c r="L388" s="148">
        <f>$J$403</f>
        <v>-593.99</v>
      </c>
      <c r="M388" s="148">
        <f>$J$403</f>
        <v>-593.99</v>
      </c>
      <c r="N388" s="148">
        <f>$J$403</f>
        <v>-593.99</v>
      </c>
      <c r="O388" s="148">
        <f>$J$403</f>
        <v>-593.99</v>
      </c>
    </row>
    <row r="389" spans="1:15" hidden="1" outlineLevel="1" x14ac:dyDescent="0.25">
      <c r="A389" s="71"/>
      <c r="B389" s="71"/>
      <c r="C389" s="71" t="s">
        <v>158</v>
      </c>
      <c r="D389" s="71"/>
      <c r="E389" s="71"/>
      <c r="F389" s="149">
        <v>60.95</v>
      </c>
      <c r="G389" s="149">
        <v>-361.82</v>
      </c>
      <c r="H389" s="149">
        <v>-53.91</v>
      </c>
      <c r="I389" s="149">
        <v>100.24</v>
      </c>
      <c r="J389" s="196">
        <v>704.91</v>
      </c>
      <c r="K389" s="148">
        <v>0</v>
      </c>
      <c r="L389" s="148">
        <v>0</v>
      </c>
      <c r="M389" s="148">
        <v>0</v>
      </c>
      <c r="N389" s="148">
        <v>0</v>
      </c>
      <c r="O389" s="148">
        <v>0</v>
      </c>
    </row>
    <row r="390" spans="1:15" hidden="1" outlineLevel="1" x14ac:dyDescent="0.25">
      <c r="A390" s="139"/>
      <c r="B390" s="139"/>
      <c r="C390" s="139" t="s">
        <v>162</v>
      </c>
      <c r="D390" s="139"/>
      <c r="E390" s="139"/>
      <c r="F390" s="140">
        <f t="shared" ref="F390:O390" si="38">SUM(F386:F389)</f>
        <v>12999.050000000001</v>
      </c>
      <c r="G390" s="140">
        <f t="shared" si="38"/>
        <v>13982.21</v>
      </c>
      <c r="H390" s="140">
        <f t="shared" si="38"/>
        <v>15271.06</v>
      </c>
      <c r="I390" s="140">
        <f t="shared" si="38"/>
        <v>17881.780000000002</v>
      </c>
      <c r="J390" s="140">
        <f t="shared" si="38"/>
        <v>21252.899999999998</v>
      </c>
      <c r="K390" s="157">
        <f t="shared" si="38"/>
        <v>24442.887926313495</v>
      </c>
      <c r="L390" s="157">
        <f t="shared" si="38"/>
        <v>27903.007184857252</v>
      </c>
      <c r="M390" s="157">
        <f t="shared" si="38"/>
        <v>31594.683912063123</v>
      </c>
      <c r="N390" s="157">
        <f t="shared" si="38"/>
        <v>35538.057586762021</v>
      </c>
      <c r="O390" s="157">
        <f t="shared" si="38"/>
        <v>39754.789852599242</v>
      </c>
    </row>
    <row r="391" spans="1:15" hidden="1" outlineLevel="1" x14ac:dyDescent="0.25">
      <c r="A391" s="71"/>
      <c r="B391" s="71"/>
      <c r="C391" s="71"/>
      <c r="D391" s="71"/>
      <c r="E391" s="71"/>
      <c r="F391" s="123"/>
      <c r="G391" s="123"/>
      <c r="H391" s="123"/>
      <c r="I391" s="123"/>
      <c r="J391" s="123"/>
      <c r="K391" s="148"/>
      <c r="L391" s="148"/>
      <c r="M391" s="148"/>
      <c r="N391" s="148"/>
      <c r="O391" s="148"/>
    </row>
    <row r="392" spans="1:15" hidden="1" outlineLevel="1" x14ac:dyDescent="0.25">
      <c r="A392" s="71"/>
      <c r="B392" s="71"/>
      <c r="C392" s="72" t="s">
        <v>163</v>
      </c>
      <c r="D392" s="71"/>
      <c r="E392" s="71"/>
      <c r="F392" s="123"/>
      <c r="G392" s="123"/>
      <c r="H392" s="123"/>
      <c r="I392" s="123"/>
      <c r="J392" s="123"/>
      <c r="K392" s="148">
        <f>K384-K390</f>
        <v>15744.584032526502</v>
      </c>
      <c r="L392" s="148">
        <f>L384-L390</f>
        <v>14544.804737776674</v>
      </c>
      <c r="M392" s="148">
        <f>M384-M390</f>
        <v>13312.645341555999</v>
      </c>
      <c r="N392" s="148">
        <f>N384-N390</f>
        <v>12040.116489865075</v>
      </c>
      <c r="O392" s="148">
        <f>O384-O390</f>
        <v>10724.432840386442</v>
      </c>
    </row>
    <row r="393" spans="1:15" hidden="1" outlineLevel="1" x14ac:dyDescent="0.25">
      <c r="A393" s="71"/>
      <c r="B393" s="71"/>
      <c r="C393" s="71"/>
      <c r="D393" s="71"/>
      <c r="E393" s="71"/>
      <c r="F393" s="123"/>
      <c r="G393" s="123"/>
      <c r="H393" s="123"/>
      <c r="I393" s="123"/>
      <c r="J393" s="123"/>
      <c r="K393" s="148"/>
      <c r="L393" s="148"/>
      <c r="M393" s="148"/>
      <c r="N393" s="148"/>
      <c r="O393" s="148"/>
    </row>
    <row r="394" spans="1:15" hidden="1" outlineLevel="1" x14ac:dyDescent="0.25">
      <c r="A394" s="71"/>
      <c r="B394" s="71"/>
      <c r="C394" s="71" t="s">
        <v>202</v>
      </c>
      <c r="D394" s="71"/>
      <c r="E394" s="71"/>
      <c r="F394" s="123">
        <f t="shared" ref="F394:O394" si="39">(F384+E384)/2</f>
        <v>19225.834999999999</v>
      </c>
      <c r="G394" s="123">
        <f t="shared" si="39"/>
        <v>20052.509999999998</v>
      </c>
      <c r="H394" s="123">
        <f t="shared" si="39"/>
        <v>22104.999999999996</v>
      </c>
      <c r="I394" s="123">
        <f t="shared" si="39"/>
        <v>26930.564999999999</v>
      </c>
      <c r="J394" s="123">
        <f t="shared" si="39"/>
        <v>33542.464999999997</v>
      </c>
      <c r="K394" s="148">
        <f t="shared" si="39"/>
        <v>38564.585979419993</v>
      </c>
      <c r="L394" s="148">
        <f t="shared" si="39"/>
        <v>41317.641940736961</v>
      </c>
      <c r="M394" s="148">
        <f t="shared" si="39"/>
        <v>43677.570588126524</v>
      </c>
      <c r="N394" s="148">
        <f t="shared" si="39"/>
        <v>46242.751665123113</v>
      </c>
      <c r="O394" s="148">
        <f t="shared" si="39"/>
        <v>49028.69838480639</v>
      </c>
    </row>
    <row r="395" spans="1:15" hidden="1" outlineLevel="1" x14ac:dyDescent="0.25">
      <c r="A395" s="71"/>
      <c r="B395" s="71"/>
      <c r="C395" s="71" t="s">
        <v>198</v>
      </c>
      <c r="D395" s="71"/>
      <c r="E395" s="71"/>
      <c r="F395" s="123">
        <f>F387</f>
        <v>2047.14</v>
      </c>
      <c r="G395" s="123">
        <f>G387</f>
        <v>1959.46</v>
      </c>
      <c r="H395" s="123">
        <f>H387</f>
        <v>2310.77</v>
      </c>
      <c r="I395" s="123">
        <f>I387</f>
        <v>2390.88</v>
      </c>
      <c r="J395" s="123">
        <f>J387</f>
        <v>3122.54</v>
      </c>
      <c r="K395" s="148"/>
      <c r="L395" s="148"/>
      <c r="M395" s="148"/>
      <c r="N395" s="148"/>
      <c r="O395" s="148"/>
    </row>
    <row r="396" spans="1:15" hidden="1" outlineLevel="1" x14ac:dyDescent="0.25">
      <c r="A396" s="139"/>
      <c r="B396" s="139"/>
      <c r="C396" s="139" t="s">
        <v>203</v>
      </c>
      <c r="D396" s="139"/>
      <c r="E396" s="139"/>
      <c r="F396" s="198">
        <f>F395/F394</f>
        <v>0.10647860027925966</v>
      </c>
      <c r="G396" s="198">
        <f>G395/G394</f>
        <v>9.7716445472412192E-2</v>
      </c>
      <c r="H396" s="198">
        <f>H395/H394</f>
        <v>0.10453607781045014</v>
      </c>
      <c r="I396" s="198">
        <f>I395/I394</f>
        <v>8.8779422191847826E-2</v>
      </c>
      <c r="J396" s="198">
        <f>J395/J394</f>
        <v>9.3092144539764748E-2</v>
      </c>
      <c r="K396" s="157"/>
      <c r="L396" s="157"/>
      <c r="M396" s="157"/>
      <c r="N396" s="157"/>
      <c r="O396" s="157"/>
    </row>
    <row r="397" spans="1:15" hidden="1" outlineLevel="1" x14ac:dyDescent="0.25">
      <c r="A397" s="71"/>
      <c r="B397" s="71"/>
      <c r="C397" s="127" t="s">
        <v>190</v>
      </c>
      <c r="D397" s="71"/>
      <c r="E397" s="71"/>
      <c r="F397" s="123"/>
      <c r="G397" s="123"/>
      <c r="H397" s="123"/>
      <c r="I397" s="123"/>
      <c r="J397" s="190">
        <f>AVERAGE(F396:J396)</f>
        <v>9.8120538058746917E-2</v>
      </c>
      <c r="K397" s="148"/>
      <c r="L397" s="148"/>
      <c r="M397" s="148"/>
      <c r="N397" s="148"/>
      <c r="O397" s="148"/>
    </row>
    <row r="398" spans="1:15" hidden="1" outlineLevel="1" x14ac:dyDescent="0.25">
      <c r="A398" s="71"/>
      <c r="B398" s="71"/>
      <c r="C398" s="127" t="s">
        <v>205</v>
      </c>
      <c r="D398" s="71"/>
      <c r="E398" s="71"/>
      <c r="F398" s="123"/>
      <c r="G398" s="123"/>
      <c r="H398" s="123"/>
      <c r="I398" s="123"/>
      <c r="J398" s="123"/>
      <c r="K398" s="148">
        <f>K394*$J$397</f>
        <v>3783.9779263134974</v>
      </c>
      <c r="L398" s="148">
        <f>L394*$J$397</f>
        <v>4054.1092585437586</v>
      </c>
      <c r="M398" s="148">
        <f>M394*$J$397</f>
        <v>4285.6667272058739</v>
      </c>
      <c r="N398" s="148">
        <f>N394*$J$397</f>
        <v>4537.363674698895</v>
      </c>
      <c r="O398" s="148">
        <f>O394*$J$397</f>
        <v>4810.7222658372193</v>
      </c>
    </row>
    <row r="399" spans="1:15" hidden="1" outlineLevel="1" x14ac:dyDescent="0.25">
      <c r="A399" s="71"/>
      <c r="B399" s="71"/>
      <c r="C399" s="71"/>
      <c r="D399" s="71"/>
      <c r="E399" s="71"/>
      <c r="F399" s="123"/>
      <c r="G399" s="123"/>
      <c r="H399" s="123"/>
      <c r="I399" s="123"/>
      <c r="J399" s="123"/>
      <c r="K399" s="148"/>
      <c r="L399" s="148"/>
      <c r="M399" s="148"/>
      <c r="N399" s="148"/>
      <c r="O399" s="148"/>
    </row>
    <row r="400" spans="1:15" hidden="1" outlineLevel="1" x14ac:dyDescent="0.25">
      <c r="A400" s="71"/>
      <c r="B400" s="71"/>
      <c r="C400" s="71" t="s">
        <v>204</v>
      </c>
      <c r="D400" s="71"/>
      <c r="E400" s="71"/>
      <c r="F400" s="183">
        <f>F382</f>
        <v>-514.29</v>
      </c>
      <c r="G400" s="183">
        <f>G382</f>
        <v>-780.44</v>
      </c>
      <c r="H400" s="183">
        <f>H382</f>
        <v>-1380.49</v>
      </c>
      <c r="I400" s="183">
        <f>I382</f>
        <v>-902.17</v>
      </c>
      <c r="J400" s="183">
        <f>J382</f>
        <v>-559.1</v>
      </c>
      <c r="K400" s="147"/>
      <c r="L400" s="147"/>
      <c r="M400" s="147"/>
      <c r="N400" s="147"/>
      <c r="O400" s="147"/>
    </row>
    <row r="401" spans="1:15" hidden="1" outlineLevel="1" x14ac:dyDescent="0.25">
      <c r="A401" s="71"/>
      <c r="B401" s="71"/>
      <c r="C401" s="71" t="s">
        <v>190</v>
      </c>
      <c r="D401" s="71"/>
      <c r="E401" s="71"/>
      <c r="F401" s="71"/>
      <c r="G401" s="71"/>
      <c r="H401" s="71"/>
      <c r="I401" s="71"/>
      <c r="J401" s="183">
        <f>AVERAGE(F400:J400)</f>
        <v>-827.29800000000012</v>
      </c>
      <c r="K401" s="147"/>
      <c r="L401" s="147"/>
      <c r="M401" s="147"/>
      <c r="N401" s="147"/>
      <c r="O401" s="147"/>
    </row>
    <row r="402" spans="1:15" hidden="1" outlineLevel="1" x14ac:dyDescent="0.25">
      <c r="A402" s="71"/>
      <c r="B402" s="71"/>
      <c r="C402" s="71" t="s">
        <v>161</v>
      </c>
      <c r="D402" s="71"/>
      <c r="E402" s="71"/>
      <c r="F402" s="183">
        <f>F388</f>
        <v>-370.06</v>
      </c>
      <c r="G402" s="183">
        <f>G388</f>
        <v>-614.48</v>
      </c>
      <c r="H402" s="183">
        <f>H388</f>
        <v>-968.01</v>
      </c>
      <c r="I402" s="183">
        <f>I388</f>
        <v>-561.07000000000005</v>
      </c>
      <c r="J402" s="183">
        <f>J388</f>
        <v>-456.33</v>
      </c>
      <c r="K402" s="147"/>
      <c r="L402" s="147"/>
      <c r="M402" s="147"/>
      <c r="N402" s="147"/>
      <c r="O402" s="147"/>
    </row>
    <row r="403" spans="1:15" hidden="1" outlineLevel="1" x14ac:dyDescent="0.25">
      <c r="A403" s="71"/>
      <c r="B403" s="71"/>
      <c r="C403" s="71" t="s">
        <v>190</v>
      </c>
      <c r="D403" s="71"/>
      <c r="E403" s="71"/>
      <c r="F403" s="71"/>
      <c r="G403" s="71"/>
      <c r="H403" s="71"/>
      <c r="I403" s="71"/>
      <c r="J403" s="183">
        <f>AVERAGE(F402:J402)</f>
        <v>-593.99</v>
      </c>
      <c r="K403" s="147"/>
      <c r="L403" s="147"/>
      <c r="M403" s="147"/>
      <c r="N403" s="147"/>
      <c r="O403" s="147"/>
    </row>
    <row r="404" spans="1:15" hidden="1" outlineLevel="1" x14ac:dyDescent="0.25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147"/>
      <c r="L404" s="147"/>
      <c r="M404" s="147"/>
      <c r="N404" s="147"/>
      <c r="O404" s="147"/>
    </row>
    <row r="405" spans="1:15" hidden="1" outlineLevel="1" x14ac:dyDescent="0.2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147"/>
      <c r="L405" s="147"/>
      <c r="M405" s="147"/>
      <c r="N405" s="147"/>
      <c r="O405" s="147"/>
    </row>
    <row r="406" spans="1:15" hidden="1" outlineLevel="1" x14ac:dyDescent="0.25">
      <c r="A406" s="139"/>
      <c r="B406" s="139"/>
      <c r="C406" s="162" t="s">
        <v>206</v>
      </c>
      <c r="D406" s="139"/>
      <c r="E406" s="139"/>
      <c r="F406" s="139"/>
      <c r="G406" s="139"/>
      <c r="H406" s="139"/>
      <c r="I406" s="139"/>
      <c r="J406" s="139"/>
      <c r="K406" s="182">
        <f>K398+K371</f>
        <v>13102.57943291684</v>
      </c>
      <c r="L406" s="182">
        <f>L398+L371</f>
        <v>14023.967730534931</v>
      </c>
      <c r="M406" s="182">
        <f>M398+M371</f>
        <v>15004.450029766867</v>
      </c>
      <c r="N406" s="182">
        <f>N398+N371</f>
        <v>16083.349731684462</v>
      </c>
      <c r="O406" s="182">
        <f>O398+O371</f>
        <v>17254.71944093065</v>
      </c>
    </row>
    <row r="407" spans="1:15" hidden="1" outlineLevel="1" x14ac:dyDescent="0.25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147"/>
      <c r="L407" s="147"/>
      <c r="M407" s="147"/>
      <c r="N407" s="147"/>
      <c r="O407" s="147"/>
    </row>
    <row r="408" spans="1:15" hidden="1" outlineLevel="1" x14ac:dyDescent="0.25">
      <c r="A408" s="71"/>
      <c r="B408" s="71"/>
      <c r="C408" s="72" t="s">
        <v>325</v>
      </c>
      <c r="D408" s="71"/>
      <c r="E408" s="71"/>
      <c r="F408" s="71"/>
      <c r="G408" s="71"/>
      <c r="H408" s="71"/>
      <c r="I408" s="71"/>
      <c r="J408" s="71"/>
      <c r="K408" s="181">
        <f>K392+K365+K349+K339</f>
        <v>151255.81906708315</v>
      </c>
      <c r="L408" s="181">
        <f>L392+L365+L349+L339</f>
        <v>154696.2407694651</v>
      </c>
      <c r="M408" s="181">
        <f>M392+M365+M349+M339</f>
        <v>158340.06847023312</v>
      </c>
      <c r="N408" s="181">
        <f>N392+N365+N349+N339</f>
        <v>162161.10376831554</v>
      </c>
      <c r="O408" s="181">
        <f>O392+O365+O349+O339</f>
        <v>166179.07530906936</v>
      </c>
    </row>
    <row r="409" spans="1:15" hidden="1" outlineLevel="1" x14ac:dyDescent="0.25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147"/>
      <c r="L409" s="147"/>
      <c r="M409" s="147"/>
      <c r="N409" s="147"/>
      <c r="O409" s="147"/>
    </row>
    <row r="410" spans="1:15" hidden="1" outlineLevel="1" x14ac:dyDescent="0.25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185"/>
      <c r="L410" s="185"/>
      <c r="M410" s="185"/>
      <c r="N410" s="185"/>
      <c r="O410" s="185"/>
    </row>
    <row r="411" spans="1:15" collapsed="1" x14ac:dyDescent="0.25">
      <c r="B411" s="56"/>
      <c r="C411" s="56"/>
      <c r="D411" s="56"/>
      <c r="E411" s="56"/>
      <c r="F411" s="56"/>
      <c r="G411" s="56"/>
      <c r="H411" s="56"/>
      <c r="I411" s="56"/>
      <c r="J411" s="56"/>
      <c r="K411" s="67"/>
      <c r="L411" s="67"/>
      <c r="M411" s="67"/>
      <c r="N411" s="67"/>
      <c r="O411" s="67"/>
    </row>
    <row r="412" spans="1:15" ht="25.5" x14ac:dyDescent="0.35">
      <c r="A412" s="142" t="s">
        <v>207</v>
      </c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5"/>
    </row>
    <row r="413" spans="1:15" hidden="1" outlineLevel="1" x14ac:dyDescent="0.25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</row>
    <row r="414" spans="1:15" hidden="1" outlineLevel="1" x14ac:dyDescent="0.25">
      <c r="A414" s="144" t="s">
        <v>155</v>
      </c>
      <c r="B414" s="86"/>
      <c r="C414" s="86"/>
      <c r="D414" s="86"/>
      <c r="E414" s="145">
        <f t="shared" ref="E414:J414" si="40">F414-1</f>
        <v>2020</v>
      </c>
      <c r="F414" s="145">
        <f t="shared" si="40"/>
        <v>2021</v>
      </c>
      <c r="G414" s="145">
        <f t="shared" si="40"/>
        <v>2022</v>
      </c>
      <c r="H414" s="145">
        <f t="shared" si="40"/>
        <v>2023</v>
      </c>
      <c r="I414" s="145">
        <f t="shared" si="40"/>
        <v>2024</v>
      </c>
      <c r="J414" s="145">
        <f t="shared" si="40"/>
        <v>2025</v>
      </c>
      <c r="K414" s="146">
        <f>K$82</f>
        <v>2026</v>
      </c>
      <c r="L414" s="146">
        <f>L$82</f>
        <v>2027</v>
      </c>
      <c r="M414" s="146">
        <f>M$82</f>
        <v>2028</v>
      </c>
      <c r="N414" s="146">
        <f>N$82</f>
        <v>2029</v>
      </c>
      <c r="O414" s="146">
        <f>O$82</f>
        <v>2030</v>
      </c>
    </row>
    <row r="415" spans="1:15" hidden="1" outlineLevel="1" x14ac:dyDescent="0.25">
      <c r="A415" s="202"/>
      <c r="B415" s="79"/>
      <c r="C415" s="79"/>
      <c r="D415" s="79"/>
      <c r="E415" s="79"/>
      <c r="F415" s="119"/>
      <c r="G415" s="119"/>
      <c r="H415" s="119"/>
      <c r="I415" s="119"/>
      <c r="J415" s="119"/>
      <c r="K415" s="161"/>
      <c r="L415" s="161"/>
      <c r="M415" s="161"/>
      <c r="N415" s="161"/>
      <c r="O415" s="161"/>
    </row>
    <row r="416" spans="1:15" hidden="1" outlineLevel="1" x14ac:dyDescent="0.25">
      <c r="A416" s="202"/>
      <c r="B416" s="202" t="s">
        <v>320</v>
      </c>
      <c r="C416" s="79"/>
      <c r="D416" s="79"/>
      <c r="E416" s="79"/>
      <c r="F416" s="119"/>
      <c r="G416" s="119"/>
      <c r="H416" s="119"/>
      <c r="I416" s="119"/>
      <c r="J416" s="119"/>
      <c r="K416" s="161"/>
      <c r="L416" s="161"/>
      <c r="M416" s="161"/>
      <c r="N416" s="161"/>
      <c r="O416" s="161"/>
    </row>
    <row r="417" spans="1:15" hidden="1" outlineLevel="1" x14ac:dyDescent="0.25">
      <c r="A417" s="202"/>
      <c r="B417" s="79"/>
      <c r="C417" s="71" t="s">
        <v>75</v>
      </c>
      <c r="D417" s="79"/>
      <c r="E417" s="203">
        <v>1045.58</v>
      </c>
      <c r="F417" s="119">
        <f t="shared" ref="F417:O418" si="41">F186</f>
        <v>1507.5</v>
      </c>
      <c r="G417" s="119">
        <f t="shared" si="41"/>
        <v>1543.32</v>
      </c>
      <c r="H417" s="119">
        <f t="shared" si="41"/>
        <v>2422.12</v>
      </c>
      <c r="I417" s="119">
        <f t="shared" si="41"/>
        <v>22662.83</v>
      </c>
      <c r="J417" s="119">
        <f t="shared" si="41"/>
        <v>17841.77</v>
      </c>
      <c r="K417" s="161">
        <f t="shared" ca="1" si="41"/>
        <v>3099.6282014231329</v>
      </c>
      <c r="L417" s="161">
        <f t="shared" ca="1" si="41"/>
        <v>23221.458423545744</v>
      </c>
      <c r="M417" s="161">
        <f t="shared" ca="1" si="41"/>
        <v>49176.341239092493</v>
      </c>
      <c r="N417" s="161">
        <f t="shared" ca="1" si="41"/>
        <v>81239.858830079742</v>
      </c>
      <c r="O417" s="161">
        <f t="shared" ca="1" si="41"/>
        <v>120300.87048035506</v>
      </c>
    </row>
    <row r="418" spans="1:15" hidden="1" outlineLevel="1" x14ac:dyDescent="0.25">
      <c r="A418" s="202"/>
      <c r="B418" s="79"/>
      <c r="C418" s="79" t="s">
        <v>327</v>
      </c>
      <c r="D418" s="79"/>
      <c r="E418" s="204">
        <v>854.92</v>
      </c>
      <c r="F418" s="205">
        <f t="shared" si="41"/>
        <v>1858.72</v>
      </c>
      <c r="G418" s="205">
        <f t="shared" si="41"/>
        <v>1309.3499999999999</v>
      </c>
      <c r="H418" s="205">
        <f t="shared" si="41"/>
        <v>2176.5</v>
      </c>
      <c r="I418" s="205">
        <f t="shared" si="41"/>
        <v>1837.71</v>
      </c>
      <c r="J418" s="205">
        <f t="shared" si="41"/>
        <v>2143.14</v>
      </c>
      <c r="K418" s="206">
        <f t="shared" si="41"/>
        <v>2143.14</v>
      </c>
      <c r="L418" s="206">
        <f t="shared" si="41"/>
        <v>2143.14</v>
      </c>
      <c r="M418" s="206">
        <f t="shared" si="41"/>
        <v>2143.14</v>
      </c>
      <c r="N418" s="206">
        <f t="shared" si="41"/>
        <v>2143.14</v>
      </c>
      <c r="O418" s="206">
        <f t="shared" si="41"/>
        <v>2143.14</v>
      </c>
    </row>
    <row r="419" spans="1:15" hidden="1" outlineLevel="1" x14ac:dyDescent="0.25">
      <c r="A419" s="162"/>
      <c r="B419" s="139"/>
      <c r="C419" s="139" t="s">
        <v>328</v>
      </c>
      <c r="D419" s="139"/>
      <c r="E419" s="207">
        <f>E418+E417</f>
        <v>1900.5</v>
      </c>
      <c r="F419" s="207">
        <f t="shared" ref="F419:O419" si="42">F418+F417</f>
        <v>3366.2200000000003</v>
      </c>
      <c r="G419" s="207">
        <f t="shared" si="42"/>
        <v>2852.67</v>
      </c>
      <c r="H419" s="207">
        <f t="shared" si="42"/>
        <v>4598.62</v>
      </c>
      <c r="I419" s="207">
        <f t="shared" si="42"/>
        <v>24500.54</v>
      </c>
      <c r="J419" s="207">
        <f t="shared" si="42"/>
        <v>19984.91</v>
      </c>
      <c r="K419" s="182">
        <f t="shared" ca="1" si="42"/>
        <v>5242.7682014231323</v>
      </c>
      <c r="L419" s="182">
        <f t="shared" ca="1" si="42"/>
        <v>25364.598423545744</v>
      </c>
      <c r="M419" s="182">
        <f t="shared" ca="1" si="42"/>
        <v>51319.481239092493</v>
      </c>
      <c r="N419" s="182">
        <f t="shared" ca="1" si="42"/>
        <v>83382.998830079741</v>
      </c>
      <c r="O419" s="182">
        <f t="shared" ca="1" si="42"/>
        <v>122444.01048035506</v>
      </c>
    </row>
    <row r="420" spans="1:15" hidden="1" outlineLevel="1" x14ac:dyDescent="0.25">
      <c r="A420" s="202"/>
      <c r="B420" s="79"/>
      <c r="C420" s="127" t="s">
        <v>329</v>
      </c>
      <c r="D420" s="79"/>
      <c r="E420" s="79"/>
      <c r="F420" s="119">
        <f>(F419+E419)/2</f>
        <v>2633.36</v>
      </c>
      <c r="G420" s="119">
        <f t="shared" ref="G420:O420" si="43">(G419+F419)/2</f>
        <v>3109.4450000000002</v>
      </c>
      <c r="H420" s="119">
        <f t="shared" si="43"/>
        <v>3725.645</v>
      </c>
      <c r="I420" s="119">
        <f t="shared" si="43"/>
        <v>14549.58</v>
      </c>
      <c r="J420" s="119">
        <f t="shared" si="43"/>
        <v>22242.724999999999</v>
      </c>
      <c r="K420" s="161">
        <f t="shared" ca="1" si="43"/>
        <v>12613.839100711566</v>
      </c>
      <c r="L420" s="161">
        <f t="shared" ca="1" si="43"/>
        <v>15303.683312484438</v>
      </c>
      <c r="M420" s="161">
        <f t="shared" ca="1" si="43"/>
        <v>38342.039831319118</v>
      </c>
      <c r="N420" s="161">
        <f t="shared" ca="1" si="43"/>
        <v>67351.24003458611</v>
      </c>
      <c r="O420" s="161">
        <f t="shared" ca="1" si="43"/>
        <v>102913.5046552174</v>
      </c>
    </row>
    <row r="421" spans="1:15" hidden="1" outlineLevel="1" x14ac:dyDescent="0.25">
      <c r="A421" s="202"/>
      <c r="B421" s="79"/>
      <c r="C421" s="79"/>
      <c r="D421" s="79"/>
      <c r="E421" s="79"/>
      <c r="F421" s="119"/>
      <c r="G421" s="119"/>
      <c r="H421" s="119"/>
      <c r="I421" s="119"/>
      <c r="J421" s="119"/>
      <c r="K421" s="161"/>
      <c r="L421" s="161"/>
      <c r="M421" s="161"/>
      <c r="N421" s="161"/>
      <c r="O421" s="161"/>
    </row>
    <row r="422" spans="1:15" hidden="1" outlineLevel="1" x14ac:dyDescent="0.25">
      <c r="A422" s="202"/>
      <c r="B422" s="79"/>
      <c r="C422" s="127" t="s">
        <v>212</v>
      </c>
      <c r="D422" s="79"/>
      <c r="E422" s="79"/>
      <c r="F422" s="119"/>
      <c r="G422" s="119"/>
      <c r="H422" s="119"/>
      <c r="I422" s="119"/>
      <c r="J422" s="119"/>
      <c r="K422" s="208">
        <f>K70</f>
        <v>0.06</v>
      </c>
      <c r="L422" s="208">
        <f>L70</f>
        <v>0.06</v>
      </c>
      <c r="M422" s="208">
        <f>M70</f>
        <v>0.06</v>
      </c>
      <c r="N422" s="208">
        <f>N70</f>
        <v>0.06</v>
      </c>
      <c r="O422" s="208">
        <f>O70</f>
        <v>0.06</v>
      </c>
    </row>
    <row r="423" spans="1:15" hidden="1" outlineLevel="1" x14ac:dyDescent="0.25">
      <c r="A423" s="202"/>
      <c r="B423" s="79"/>
      <c r="C423" s="127"/>
      <c r="D423" s="79"/>
      <c r="E423" s="79"/>
      <c r="F423" s="119"/>
      <c r="G423" s="119"/>
      <c r="H423" s="119"/>
      <c r="I423" s="119"/>
      <c r="J423" s="119"/>
      <c r="K423" s="208"/>
      <c r="L423" s="208"/>
      <c r="M423" s="208"/>
      <c r="N423" s="208"/>
      <c r="O423" s="208"/>
    </row>
    <row r="424" spans="1:15" hidden="1" outlineLevel="1" x14ac:dyDescent="0.25">
      <c r="A424" s="202"/>
      <c r="B424" s="79"/>
      <c r="C424" s="127" t="s">
        <v>346</v>
      </c>
      <c r="D424" s="79"/>
      <c r="E424" s="79"/>
      <c r="F424" s="119"/>
      <c r="G424" s="119"/>
      <c r="H424" s="119"/>
      <c r="I424" s="119"/>
      <c r="J424" s="119"/>
      <c r="K424" s="161">
        <f ca="1">K420*K422</f>
        <v>756.83034604269392</v>
      </c>
      <c r="L424" s="161">
        <f ca="1">L420*L422</f>
        <v>918.22099874906621</v>
      </c>
      <c r="M424" s="161">
        <f ca="1">M420*M422</f>
        <v>2300.5223898791469</v>
      </c>
      <c r="N424" s="161">
        <f ca="1">N420*N422</f>
        <v>4041.0744020751663</v>
      </c>
      <c r="O424" s="161">
        <f ca="1">O420*O422</f>
        <v>6174.8102793130438</v>
      </c>
    </row>
    <row r="425" spans="1:15" hidden="1" outlineLevel="1" x14ac:dyDescent="0.25">
      <c r="A425" s="202"/>
      <c r="B425" s="79"/>
      <c r="C425" s="79"/>
      <c r="D425" s="79"/>
      <c r="E425" s="79"/>
      <c r="F425" s="119"/>
      <c r="G425" s="119"/>
      <c r="H425" s="119"/>
      <c r="I425" s="119"/>
      <c r="J425" s="119"/>
      <c r="K425" s="161"/>
      <c r="L425" s="161"/>
      <c r="M425" s="161"/>
      <c r="N425" s="161"/>
      <c r="O425" s="161"/>
    </row>
    <row r="426" spans="1:15" hidden="1" outlineLevel="1" x14ac:dyDescent="0.25">
      <c r="A426" s="202"/>
      <c r="B426" s="202" t="s">
        <v>330</v>
      </c>
      <c r="C426" s="79"/>
      <c r="D426" s="79"/>
      <c r="E426" s="79"/>
      <c r="F426" s="119"/>
      <c r="G426" s="119"/>
      <c r="H426" s="119"/>
      <c r="I426" s="119"/>
      <c r="J426" s="119"/>
      <c r="K426" s="161"/>
      <c r="L426" s="161"/>
      <c r="M426" s="161"/>
      <c r="N426" s="161"/>
      <c r="O426" s="161"/>
    </row>
    <row r="427" spans="1:15" hidden="1" outlineLevel="1" x14ac:dyDescent="0.25">
      <c r="A427" s="202"/>
      <c r="B427" s="79"/>
      <c r="C427" s="79" t="s">
        <v>331</v>
      </c>
      <c r="D427" s="79"/>
      <c r="E427" s="79"/>
      <c r="F427" s="119"/>
      <c r="G427" s="119"/>
      <c r="H427" s="119"/>
      <c r="I427" s="119"/>
      <c r="J427" s="119"/>
      <c r="K427" s="161">
        <f>K164</f>
        <v>17841.769999999979</v>
      </c>
      <c r="L427" s="161">
        <f ca="1">L164</f>
        <v>3099.6282014231329</v>
      </c>
      <c r="M427" s="161">
        <f ca="1">M164</f>
        <v>23221.458423545744</v>
      </c>
      <c r="N427" s="161">
        <f ca="1">N164</f>
        <v>49176.341239092493</v>
      </c>
      <c r="O427" s="161">
        <f ca="1">O164</f>
        <v>81239.858830079742</v>
      </c>
    </row>
    <row r="428" spans="1:15" hidden="1" outlineLevel="1" x14ac:dyDescent="0.25">
      <c r="A428" s="202"/>
      <c r="B428" s="79"/>
      <c r="C428" s="79" t="s">
        <v>335</v>
      </c>
      <c r="D428" s="79"/>
      <c r="E428" s="79"/>
      <c r="F428" s="119"/>
      <c r="G428" s="119"/>
      <c r="H428" s="119"/>
      <c r="I428" s="119"/>
      <c r="J428" s="119"/>
      <c r="K428" s="161">
        <f>-K68</f>
        <v>-2270.6546263568857</v>
      </c>
      <c r="L428" s="161">
        <f>-L68</f>
        <v>-2588.4620979088236</v>
      </c>
      <c r="M428" s="161">
        <f>-M68</f>
        <v>-2935.0525137598697</v>
      </c>
      <c r="N428" s="161">
        <f>-N68</f>
        <v>-3309.5172228182623</v>
      </c>
      <c r="O428" s="161">
        <f>-O68</f>
        <v>-3699.6876339681389</v>
      </c>
    </row>
    <row r="429" spans="1:15" hidden="1" outlineLevel="1" x14ac:dyDescent="0.25">
      <c r="A429" s="202"/>
      <c r="B429" s="79"/>
      <c r="C429" s="127" t="s">
        <v>337</v>
      </c>
      <c r="D429" s="79"/>
      <c r="E429" s="79"/>
      <c r="F429" s="119"/>
      <c r="G429" s="119"/>
      <c r="H429" s="119"/>
      <c r="I429" s="119"/>
      <c r="J429" s="119"/>
      <c r="K429" s="161">
        <f ca="1">K143+K151+K155+K158+K159+K160+K156</f>
        <v>-2019.2117985768448</v>
      </c>
      <c r="L429" s="161">
        <f ca="1">L143+L151+L155+L158+L159+L160+L156</f>
        <v>20121.830222122608</v>
      </c>
      <c r="M429" s="161">
        <f ca="1">M143+M151+M155+M158+M159+M160+M156</f>
        <v>25954.882815546749</v>
      </c>
      <c r="N429" s="161">
        <f ca="1">N143+N151+N155+N158+N159+N160+N156</f>
        <v>32063.517590987252</v>
      </c>
      <c r="O429" s="161">
        <f ca="1">O143+O151+O155+O158+O159+O160+O156</f>
        <v>39061.011650275308</v>
      </c>
    </row>
    <row r="430" spans="1:15" hidden="1" outlineLevel="1" x14ac:dyDescent="0.25">
      <c r="A430" s="162"/>
      <c r="B430" s="139"/>
      <c r="C430" s="139" t="s">
        <v>338</v>
      </c>
      <c r="D430" s="139"/>
      <c r="E430" s="139"/>
      <c r="F430" s="140"/>
      <c r="G430" s="140"/>
      <c r="H430" s="140"/>
      <c r="I430" s="140"/>
      <c r="J430" s="140"/>
      <c r="K430" s="157">
        <f ca="1">SUM(K427:K429)</f>
        <v>13551.903575066248</v>
      </c>
      <c r="L430" s="157">
        <f ca="1">SUM(L427:L429)</f>
        <v>20632.996325636916</v>
      </c>
      <c r="M430" s="157">
        <f ca="1">SUM(M427:M429)</f>
        <v>46241.288725332619</v>
      </c>
      <c r="N430" s="157">
        <f ca="1">SUM(N427:N429)</f>
        <v>77930.341607261478</v>
      </c>
      <c r="O430" s="157">
        <f ca="1">SUM(O427:O429)</f>
        <v>116601.18284638692</v>
      </c>
    </row>
    <row r="431" spans="1:15" hidden="1" outlineLevel="1" x14ac:dyDescent="0.25">
      <c r="A431" s="202"/>
      <c r="B431" s="79"/>
      <c r="C431" s="79"/>
      <c r="D431" s="79"/>
      <c r="E431" s="79"/>
      <c r="F431" s="119"/>
      <c r="G431" s="119"/>
      <c r="H431" s="119"/>
      <c r="I431" s="119"/>
      <c r="J431" s="119"/>
      <c r="K431" s="161"/>
      <c r="L431" s="161"/>
      <c r="M431" s="161"/>
      <c r="N431" s="161"/>
      <c r="O431" s="161"/>
    </row>
    <row r="432" spans="1:15" hidden="1" outlineLevel="1" x14ac:dyDescent="0.25">
      <c r="A432" s="202"/>
      <c r="B432" s="79"/>
      <c r="C432" s="127" t="s">
        <v>339</v>
      </c>
      <c r="D432" s="79"/>
      <c r="E432" s="79"/>
      <c r="F432" s="119"/>
      <c r="G432" s="119"/>
      <c r="H432" s="119"/>
      <c r="I432" s="119"/>
      <c r="J432" s="119"/>
      <c r="K432" s="161">
        <f>J434</f>
        <v>12722.93</v>
      </c>
      <c r="L432" s="161">
        <f ca="1">K434</f>
        <v>0</v>
      </c>
      <c r="M432" s="161">
        <f ca="1">L434</f>
        <v>0</v>
      </c>
      <c r="N432" s="161">
        <f ca="1">M434</f>
        <v>0</v>
      </c>
      <c r="O432" s="161">
        <f ca="1">N434</f>
        <v>0</v>
      </c>
    </row>
    <row r="433" spans="1:15" hidden="1" outlineLevel="1" x14ac:dyDescent="0.25">
      <c r="A433" s="202"/>
      <c r="B433" s="79"/>
      <c r="C433" s="127" t="s">
        <v>340</v>
      </c>
      <c r="D433" s="79"/>
      <c r="E433" s="79"/>
      <c r="F433" s="119"/>
      <c r="G433" s="119"/>
      <c r="H433" s="119"/>
      <c r="I433" s="119"/>
      <c r="J433" s="119"/>
      <c r="K433" s="161">
        <f ca="1">-MIN(K430,K432)</f>
        <v>-12722.93</v>
      </c>
      <c r="L433" s="161">
        <f ca="1">-MIN(L430,L432)</f>
        <v>0</v>
      </c>
      <c r="M433" s="161">
        <f ca="1">-MIN(M430,M432)</f>
        <v>0</v>
      </c>
      <c r="N433" s="161">
        <f ca="1">-MIN(N430,N432)</f>
        <v>0</v>
      </c>
      <c r="O433" s="161">
        <f ca="1">-MIN(O430,O432)</f>
        <v>0</v>
      </c>
    </row>
    <row r="434" spans="1:15" hidden="1" outlineLevel="1" x14ac:dyDescent="0.25">
      <c r="A434" s="162"/>
      <c r="B434" s="139"/>
      <c r="C434" s="209" t="s">
        <v>341</v>
      </c>
      <c r="D434" s="139"/>
      <c r="E434" s="139"/>
      <c r="F434" s="140"/>
      <c r="G434" s="140"/>
      <c r="H434" s="140"/>
      <c r="I434" s="140"/>
      <c r="J434" s="140">
        <f>J209</f>
        <v>12722.93</v>
      </c>
      <c r="K434" s="157">
        <f ca="1">SUM(K432:K433)</f>
        <v>0</v>
      </c>
      <c r="L434" s="157">
        <f ca="1">SUM(L432:L433)</f>
        <v>0</v>
      </c>
      <c r="M434" s="157">
        <f ca="1">SUM(M432:M433)</f>
        <v>0</v>
      </c>
      <c r="N434" s="157">
        <f ca="1">SUM(N432:N433)</f>
        <v>0</v>
      </c>
      <c r="O434" s="157">
        <f ca="1">SUM(O432:O433)</f>
        <v>0</v>
      </c>
    </row>
    <row r="435" spans="1:15" hidden="1" outlineLevel="1" x14ac:dyDescent="0.25">
      <c r="A435" s="202"/>
      <c r="B435" s="79"/>
      <c r="C435" s="127" t="s">
        <v>343</v>
      </c>
      <c r="D435" s="79"/>
      <c r="E435" s="79"/>
      <c r="F435" s="119"/>
      <c r="G435" s="119"/>
      <c r="H435" s="119"/>
      <c r="I435" s="119"/>
      <c r="J435" s="119"/>
      <c r="K435" s="161"/>
      <c r="L435" s="161"/>
      <c r="M435" s="161"/>
      <c r="N435" s="161"/>
      <c r="O435" s="161"/>
    </row>
    <row r="436" spans="1:15" hidden="1" outlineLevel="1" x14ac:dyDescent="0.25">
      <c r="A436" s="202"/>
      <c r="B436" s="79"/>
      <c r="C436" s="127"/>
      <c r="D436" s="79"/>
      <c r="E436" s="79"/>
      <c r="F436" s="119"/>
      <c r="G436" s="119"/>
      <c r="H436" s="119"/>
      <c r="I436" s="119"/>
      <c r="J436" s="119"/>
      <c r="K436" s="161"/>
      <c r="L436" s="161"/>
      <c r="M436" s="161"/>
      <c r="N436" s="161"/>
      <c r="O436" s="161"/>
    </row>
    <row r="437" spans="1:15" hidden="1" outlineLevel="1" x14ac:dyDescent="0.25">
      <c r="A437" s="202"/>
      <c r="B437" s="79"/>
      <c r="C437" s="127" t="s">
        <v>344</v>
      </c>
      <c r="D437" s="79"/>
      <c r="E437" s="79"/>
      <c r="F437" s="119"/>
      <c r="G437" s="119"/>
      <c r="H437" s="119"/>
      <c r="I437" s="119"/>
      <c r="J437" s="119"/>
      <c r="K437" s="208">
        <f>K69</f>
        <v>0.10249999999999999</v>
      </c>
      <c r="L437" s="208">
        <f>L69</f>
        <v>0.10249999999999999</v>
      </c>
      <c r="M437" s="208">
        <f>M69</f>
        <v>0.10249999999999999</v>
      </c>
      <c r="N437" s="208">
        <f>N69</f>
        <v>0.10249999999999999</v>
      </c>
      <c r="O437" s="208">
        <f>O69</f>
        <v>0.10249999999999999</v>
      </c>
    </row>
    <row r="438" spans="1:15" hidden="1" outlineLevel="1" x14ac:dyDescent="0.25">
      <c r="A438" s="162"/>
      <c r="B438" s="139"/>
      <c r="C438" s="209" t="s">
        <v>345</v>
      </c>
      <c r="D438" s="139"/>
      <c r="E438" s="139"/>
      <c r="F438" s="140"/>
      <c r="G438" s="140"/>
      <c r="H438" s="140"/>
      <c r="I438" s="140"/>
      <c r="J438" s="140"/>
      <c r="K438" s="157">
        <f ca="1">AVERAGE(K432,K434)*K437</f>
        <v>652.05016249999994</v>
      </c>
      <c r="L438" s="157">
        <f ca="1">AVERAGE(L432,L434)*L437</f>
        <v>0</v>
      </c>
      <c r="M438" s="157">
        <f ca="1">AVERAGE(M432,M434)*M437</f>
        <v>0</v>
      </c>
      <c r="N438" s="157">
        <f ca="1">AVERAGE(N432,N434)*N437</f>
        <v>0</v>
      </c>
      <c r="O438" s="157">
        <f ca="1">AVERAGE(O432,O434)*O437</f>
        <v>0</v>
      </c>
    </row>
    <row r="439" spans="1:15" hidden="1" outlineLevel="1" x14ac:dyDescent="0.25">
      <c r="A439" s="202"/>
      <c r="B439" s="79"/>
      <c r="C439" s="71"/>
      <c r="D439" s="71"/>
      <c r="E439" s="71"/>
      <c r="F439" s="123"/>
      <c r="G439" s="123"/>
      <c r="H439" s="123"/>
      <c r="I439" s="123"/>
      <c r="J439" s="123"/>
      <c r="K439" s="148"/>
      <c r="L439" s="148"/>
      <c r="M439" s="148"/>
      <c r="N439" s="148"/>
      <c r="O439" s="148"/>
    </row>
    <row r="440" spans="1:15" hidden="1" outlineLevel="1" x14ac:dyDescent="0.25">
      <c r="A440" s="202"/>
      <c r="B440" s="202" t="s">
        <v>284</v>
      </c>
      <c r="C440" s="71"/>
      <c r="D440" s="71"/>
      <c r="E440" s="71"/>
      <c r="F440" s="123"/>
      <c r="G440" s="123"/>
      <c r="H440" s="123"/>
      <c r="I440" s="123"/>
      <c r="J440" s="123"/>
      <c r="K440" s="148"/>
      <c r="L440" s="148"/>
      <c r="M440" s="148"/>
      <c r="N440" s="148"/>
      <c r="O440" s="148"/>
    </row>
    <row r="441" spans="1:15" hidden="1" outlineLevel="1" x14ac:dyDescent="0.25">
      <c r="A441" s="202"/>
      <c r="B441" s="79"/>
      <c r="C441" s="71" t="s">
        <v>282</v>
      </c>
      <c r="D441" s="71"/>
      <c r="E441" s="71"/>
      <c r="F441" s="123"/>
      <c r="G441" s="123"/>
      <c r="H441" s="123"/>
      <c r="I441" s="123"/>
      <c r="J441" s="123"/>
      <c r="K441" s="210">
        <f>'Term Loans'!F189</f>
        <v>2770.448269525571</v>
      </c>
      <c r="L441" s="210">
        <f>'Term Loans'!G189</f>
        <v>1435.4118184875047</v>
      </c>
      <c r="M441" s="210">
        <f>'Term Loans'!H189</f>
        <v>443.33866000000023</v>
      </c>
      <c r="N441" s="210">
        <f>'Term Loans'!I189</f>
        <v>50.215240000000108</v>
      </c>
      <c r="O441" s="210">
        <f>'Term Loans'!J189</f>
        <v>1.1368683772161603E-13</v>
      </c>
    </row>
    <row r="442" spans="1:15" hidden="1" outlineLevel="1" x14ac:dyDescent="0.25">
      <c r="A442" s="71"/>
      <c r="B442" s="71"/>
      <c r="C442" s="71" t="s">
        <v>283</v>
      </c>
      <c r="D442" s="71"/>
      <c r="E442" s="71"/>
      <c r="F442" s="123"/>
      <c r="G442" s="123"/>
      <c r="H442" s="123"/>
      <c r="I442" s="123"/>
      <c r="J442" s="123"/>
      <c r="K442" s="148">
        <f>'Term Loans'!F188</f>
        <v>2042.5502027536611</v>
      </c>
      <c r="L442" s="148">
        <f>'Term Loans'!G188</f>
        <v>1334.4636991004363</v>
      </c>
      <c r="M442" s="148">
        <f>'Term Loans'!H188</f>
        <v>993.12342000000001</v>
      </c>
      <c r="N442" s="148">
        <f>'Term Loans'!I188</f>
        <v>393.12342000000001</v>
      </c>
      <c r="O442" s="148">
        <f>'Term Loans'!J188</f>
        <v>50.215239999999994</v>
      </c>
    </row>
    <row r="443" spans="1:15" hidden="1" outlineLevel="1" x14ac:dyDescent="0.25">
      <c r="A443" s="71"/>
      <c r="B443" s="72"/>
      <c r="C443" s="71" t="s">
        <v>57</v>
      </c>
      <c r="D443" s="71"/>
      <c r="E443" s="71"/>
      <c r="F443" s="123"/>
      <c r="G443" s="123"/>
      <c r="H443" s="123"/>
      <c r="I443" s="123"/>
      <c r="J443" s="123"/>
      <c r="K443" s="148">
        <f>'Term Loans'!E187</f>
        <v>372.3059552587867</v>
      </c>
      <c r="L443" s="148">
        <f>'Term Loans'!F187</f>
        <v>246.21855645025971</v>
      </c>
      <c r="M443" s="148">
        <f>'Term Loans'!G187</f>
        <v>140.28932360471521</v>
      </c>
      <c r="N443" s="148">
        <f>'Term Loans'!H187</f>
        <v>57.139161774486311</v>
      </c>
      <c r="O443" s="148">
        <f>'Term Loans'!I187</f>
        <v>16.541539289691791</v>
      </c>
    </row>
    <row r="444" spans="1:15" hidden="1" outlineLevel="1" x14ac:dyDescent="0.25">
      <c r="A444" s="71"/>
      <c r="B444" s="71"/>
      <c r="C444" s="71"/>
      <c r="D444" s="71"/>
      <c r="E444" s="71"/>
      <c r="F444" s="123"/>
      <c r="G444" s="123"/>
      <c r="H444" s="123"/>
      <c r="I444" s="123"/>
      <c r="J444" s="123"/>
      <c r="K444" s="148"/>
      <c r="L444" s="148"/>
      <c r="M444" s="148"/>
      <c r="N444" s="148"/>
      <c r="O444" s="148"/>
    </row>
    <row r="445" spans="1:15" hidden="1" outlineLevel="1" x14ac:dyDescent="0.25">
      <c r="A445" s="71"/>
      <c r="B445" s="72" t="s">
        <v>285</v>
      </c>
      <c r="C445" s="71"/>
      <c r="D445" s="71"/>
      <c r="E445" s="71"/>
      <c r="F445" s="123"/>
      <c r="G445" s="123"/>
      <c r="H445" s="123"/>
      <c r="I445" s="123"/>
      <c r="J445" s="123"/>
      <c r="K445" s="148"/>
      <c r="L445" s="148"/>
      <c r="M445" s="148"/>
      <c r="N445" s="148"/>
      <c r="O445" s="148"/>
    </row>
    <row r="446" spans="1:15" hidden="1" outlineLevel="1" x14ac:dyDescent="0.25">
      <c r="A446" s="71"/>
      <c r="B446" s="71"/>
      <c r="C446" s="71" t="s">
        <v>286</v>
      </c>
      <c r="D446" s="71"/>
      <c r="E446" s="71"/>
      <c r="F446" s="123"/>
      <c r="G446" s="123"/>
      <c r="H446" s="123"/>
      <c r="I446" s="123"/>
      <c r="J446" s="149">
        <v>514.19000000000005</v>
      </c>
      <c r="K446" s="148">
        <f>J446</f>
        <v>514.19000000000005</v>
      </c>
      <c r="L446" s="148">
        <f t="shared" ref="L446:O447" si="44">K446</f>
        <v>514.19000000000005</v>
      </c>
      <c r="M446" s="148">
        <f t="shared" si="44"/>
        <v>514.19000000000005</v>
      </c>
      <c r="N446" s="148">
        <f t="shared" si="44"/>
        <v>514.19000000000005</v>
      </c>
      <c r="O446" s="148">
        <f t="shared" si="44"/>
        <v>514.19000000000005</v>
      </c>
    </row>
    <row r="447" spans="1:15" hidden="1" outlineLevel="1" x14ac:dyDescent="0.25">
      <c r="A447" s="71"/>
      <c r="B447" s="71"/>
      <c r="C447" s="71" t="s">
        <v>315</v>
      </c>
      <c r="D447" s="71"/>
      <c r="E447" s="71"/>
      <c r="F447" s="123"/>
      <c r="G447" s="123"/>
      <c r="H447" s="123"/>
      <c r="I447" s="123"/>
      <c r="J447" s="149">
        <v>1172.55</v>
      </c>
      <c r="K447" s="148">
        <f>J447</f>
        <v>1172.55</v>
      </c>
      <c r="L447" s="148">
        <f t="shared" si="44"/>
        <v>1172.55</v>
      </c>
      <c r="M447" s="148">
        <f t="shared" si="44"/>
        <v>1172.55</v>
      </c>
      <c r="N447" s="148">
        <f t="shared" si="44"/>
        <v>1172.55</v>
      </c>
      <c r="O447" s="148">
        <f t="shared" si="44"/>
        <v>1172.55</v>
      </c>
    </row>
    <row r="448" spans="1:15" hidden="1" outlineLevel="1" x14ac:dyDescent="0.25">
      <c r="A448" s="71"/>
      <c r="B448" s="72"/>
      <c r="C448" s="71"/>
      <c r="D448" s="71"/>
      <c r="E448" s="71"/>
      <c r="F448" s="123"/>
      <c r="G448" s="123"/>
      <c r="H448" s="123"/>
      <c r="I448" s="123"/>
      <c r="J448" s="123"/>
      <c r="K448" s="148"/>
      <c r="L448" s="148"/>
      <c r="M448" s="148"/>
      <c r="N448" s="148"/>
      <c r="O448" s="148"/>
    </row>
    <row r="449" spans="1:15" hidden="1" outlineLevel="1" x14ac:dyDescent="0.25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181"/>
      <c r="L449" s="181"/>
      <c r="M449" s="181"/>
      <c r="N449" s="181"/>
      <c r="O449" s="181"/>
    </row>
    <row r="450" spans="1:15" hidden="1" outlineLevel="1" x14ac:dyDescent="0.25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147"/>
      <c r="L450" s="147"/>
      <c r="M450" s="147"/>
      <c r="N450" s="147"/>
      <c r="O450" s="147"/>
    </row>
    <row r="451" spans="1:15" hidden="1" outlineLevel="1" x14ac:dyDescent="0.25">
      <c r="A451" s="71"/>
      <c r="B451" s="72" t="s">
        <v>290</v>
      </c>
      <c r="C451" s="71"/>
      <c r="D451" s="71"/>
      <c r="E451" s="71"/>
      <c r="F451" s="71"/>
      <c r="G451" s="71"/>
      <c r="H451" s="71"/>
      <c r="I451" s="71"/>
      <c r="J451" s="71"/>
      <c r="K451" s="181">
        <f ca="1">K438+K446+K443</f>
        <v>1538.5461177587867</v>
      </c>
      <c r="L451" s="181">
        <f ca="1">L438+L446+L443</f>
        <v>760.40855645025977</v>
      </c>
      <c r="M451" s="181">
        <f ca="1">M438+M446+M443</f>
        <v>654.47932360471532</v>
      </c>
      <c r="N451" s="181">
        <f ca="1">N438+N446+N443</f>
        <v>571.32916177448635</v>
      </c>
      <c r="O451" s="181">
        <f ca="1">O438+O446+O443</f>
        <v>530.7315392896918</v>
      </c>
    </row>
    <row r="452" spans="1:15" hidden="1" outlineLevel="1" x14ac:dyDescent="0.25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147"/>
      <c r="L452" s="147"/>
      <c r="M452" s="147"/>
      <c r="N452" s="147"/>
      <c r="O452" s="147"/>
    </row>
    <row r="453" spans="1:15" hidden="1" outlineLevel="1" x14ac:dyDescent="0.25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147"/>
      <c r="L453" s="147"/>
      <c r="M453" s="147"/>
      <c r="N453" s="147"/>
      <c r="O453" s="147"/>
    </row>
    <row r="454" spans="1:15" hidden="1" outlineLevel="1" x14ac:dyDescent="0.25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185"/>
      <c r="L454" s="185"/>
      <c r="M454" s="185"/>
      <c r="N454" s="185"/>
      <c r="O454" s="185"/>
    </row>
    <row r="455" spans="1:15" collapsed="1" x14ac:dyDescent="0.25">
      <c r="A455" s="71"/>
      <c r="B455" s="72"/>
      <c r="C455" s="71"/>
      <c r="D455" s="71"/>
      <c r="E455" s="71"/>
      <c r="F455" s="71"/>
      <c r="G455" s="71"/>
      <c r="H455" s="71"/>
      <c r="I455" s="71"/>
      <c r="J455" s="71"/>
      <c r="K455" s="185"/>
      <c r="L455" s="185"/>
      <c r="M455" s="185"/>
      <c r="N455" s="185"/>
      <c r="O455" s="185"/>
    </row>
    <row r="456" spans="1:15" ht="25.5" x14ac:dyDescent="0.35">
      <c r="A456" s="142" t="s">
        <v>291</v>
      </c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5"/>
    </row>
    <row r="457" spans="1:15" hidden="1" outlineLevel="1" x14ac:dyDescent="0.25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</row>
    <row r="458" spans="1:15" hidden="1" outlineLevel="1" x14ac:dyDescent="0.25">
      <c r="A458" s="144" t="s">
        <v>155</v>
      </c>
      <c r="B458" s="86"/>
      <c r="C458" s="86"/>
      <c r="D458" s="86"/>
      <c r="E458" s="86"/>
      <c r="F458" s="145">
        <f>G458-1</f>
        <v>2021</v>
      </c>
      <c r="G458" s="145">
        <f>H458-1</f>
        <v>2022</v>
      </c>
      <c r="H458" s="145">
        <f>I458-1</f>
        <v>2023</v>
      </c>
      <c r="I458" s="145">
        <f>J458-1</f>
        <v>2024</v>
      </c>
      <c r="J458" s="145">
        <f>K458-1</f>
        <v>2025</v>
      </c>
      <c r="K458" s="146">
        <f>K$82</f>
        <v>2026</v>
      </c>
      <c r="L458" s="146">
        <f>L$82</f>
        <v>2027</v>
      </c>
      <c r="M458" s="146">
        <f>M$82</f>
        <v>2028</v>
      </c>
      <c r="N458" s="146">
        <f>N$82</f>
        <v>2029</v>
      </c>
      <c r="O458" s="146">
        <f>O$82</f>
        <v>2030</v>
      </c>
    </row>
    <row r="459" spans="1:15" hidden="1" outlineLevel="1" x14ac:dyDescent="0.25">
      <c r="A459" s="202"/>
      <c r="B459" s="79"/>
      <c r="C459" s="79"/>
      <c r="D459" s="79"/>
      <c r="E459" s="79"/>
      <c r="F459" s="211"/>
      <c r="G459" s="211"/>
      <c r="H459" s="211"/>
      <c r="I459" s="211"/>
      <c r="J459" s="211"/>
      <c r="K459" s="212"/>
      <c r="L459" s="212"/>
      <c r="M459" s="212"/>
      <c r="N459" s="212"/>
      <c r="O459" s="212"/>
    </row>
    <row r="460" spans="1:15" hidden="1" outlineLevel="1" x14ac:dyDescent="0.25">
      <c r="A460" s="202"/>
      <c r="B460" s="79"/>
      <c r="C460" s="79" t="s">
        <v>347</v>
      </c>
      <c r="D460" s="79"/>
      <c r="E460" s="79"/>
      <c r="F460" s="211"/>
      <c r="G460" s="211"/>
      <c r="H460" s="211"/>
      <c r="I460" s="211"/>
      <c r="J460" s="160">
        <f t="shared" ref="J460:O460" si="45">J87</f>
        <v>216853.79</v>
      </c>
      <c r="K460" s="148">
        <f t="shared" si="45"/>
        <v>260620.14328100003</v>
      </c>
      <c r="L460" s="148">
        <f t="shared" si="45"/>
        <v>297097.30181062146</v>
      </c>
      <c r="M460" s="148">
        <f t="shared" si="45"/>
        <v>336878.09576775751</v>
      </c>
      <c r="N460" s="148">
        <f t="shared" si="45"/>
        <v>379858.23241894774</v>
      </c>
      <c r="O460" s="148">
        <f t="shared" si="45"/>
        <v>424641.03085846046</v>
      </c>
    </row>
    <row r="461" spans="1:15" hidden="1" outlineLevel="1" x14ac:dyDescent="0.25">
      <c r="A461" s="202"/>
      <c r="B461" s="79"/>
      <c r="C461" s="79" t="s">
        <v>348</v>
      </c>
      <c r="D461" s="79"/>
      <c r="E461" s="79"/>
      <c r="F461" s="211"/>
      <c r="G461" s="211"/>
      <c r="H461" s="211"/>
      <c r="I461" s="211"/>
      <c r="J461" s="211"/>
      <c r="K461" s="189">
        <f>K460/J460-1</f>
        <v>0.2018242488683275</v>
      </c>
      <c r="L461" s="189">
        <f>L460/K460-1</f>
        <v>0.13996292869155491</v>
      </c>
      <c r="M461" s="189">
        <f>M460/L460-1</f>
        <v>0.13389820006676967</v>
      </c>
      <c r="N461" s="189">
        <f>N460/M460-1</f>
        <v>0.12758364877727346</v>
      </c>
      <c r="O461" s="189">
        <f>O460/N460-1</f>
        <v>0.11789345239231652</v>
      </c>
    </row>
    <row r="462" spans="1:15" hidden="1" outlineLevel="1" x14ac:dyDescent="0.25">
      <c r="A462" s="202"/>
      <c r="B462" s="79"/>
      <c r="C462" s="79"/>
      <c r="D462" s="79"/>
      <c r="E462" s="79"/>
      <c r="F462" s="211"/>
      <c r="G462" s="211"/>
      <c r="H462" s="211"/>
      <c r="I462" s="211"/>
      <c r="J462" s="211"/>
      <c r="K462" s="212"/>
      <c r="L462" s="212"/>
      <c r="M462" s="212"/>
      <c r="N462" s="212"/>
      <c r="O462" s="212"/>
    </row>
    <row r="463" spans="1:15" hidden="1" outlineLevel="1" x14ac:dyDescent="0.25">
      <c r="A463" s="71"/>
      <c r="B463" s="71"/>
      <c r="C463" s="71"/>
      <c r="D463" s="71"/>
      <c r="E463" s="71"/>
      <c r="F463" s="123"/>
      <c r="G463" s="123"/>
      <c r="H463" s="123"/>
      <c r="I463" s="123"/>
      <c r="J463" s="123"/>
      <c r="K463" s="148"/>
      <c r="L463" s="148"/>
      <c r="M463" s="148"/>
      <c r="N463" s="148"/>
      <c r="O463" s="148"/>
    </row>
    <row r="464" spans="1:15" hidden="1" outlineLevel="1" x14ac:dyDescent="0.25">
      <c r="A464" s="71"/>
      <c r="B464" s="72" t="s">
        <v>292</v>
      </c>
      <c r="C464" s="71"/>
      <c r="D464" s="71"/>
      <c r="E464" s="71"/>
      <c r="F464" s="123"/>
      <c r="G464" s="123"/>
      <c r="H464" s="123"/>
      <c r="I464" s="123"/>
      <c r="J464" s="123"/>
      <c r="K464" s="148"/>
      <c r="L464" s="148"/>
      <c r="M464" s="148"/>
      <c r="N464" s="148"/>
      <c r="O464" s="148"/>
    </row>
    <row r="465" spans="1:15" hidden="1" outlineLevel="1" x14ac:dyDescent="0.25">
      <c r="A465" s="71"/>
      <c r="B465" s="72"/>
      <c r="C465" s="71" t="s">
        <v>349</v>
      </c>
      <c r="D465" s="71"/>
      <c r="E465" s="71"/>
      <c r="F465" s="123"/>
      <c r="G465" s="123"/>
      <c r="H465" s="123"/>
      <c r="I465" s="123"/>
      <c r="J465" s="123">
        <f>J180</f>
        <v>3261.95</v>
      </c>
      <c r="K465" s="148">
        <f>J465*(1+K461)</f>
        <v>3920.2906085960408</v>
      </c>
      <c r="L465" s="148">
        <f>K465*(1+L461)</f>
        <v>4468.9859634971408</v>
      </c>
      <c r="M465" s="148">
        <f>L465*(1+M461)</f>
        <v>5067.3751401330665</v>
      </c>
      <c r="N465" s="148">
        <f>M465*(1+N461)</f>
        <v>5713.8893502344908</v>
      </c>
      <c r="O465" s="148">
        <f>N465*(1+O461)</f>
        <v>6387.5194923213248</v>
      </c>
    </row>
    <row r="466" spans="1:15" hidden="1" outlineLevel="1" x14ac:dyDescent="0.25">
      <c r="A466" s="71"/>
      <c r="B466" s="71"/>
      <c r="C466" s="71" t="s">
        <v>71</v>
      </c>
      <c r="D466" s="71"/>
      <c r="E466" s="71"/>
      <c r="F466" s="123"/>
      <c r="G466" s="123"/>
      <c r="H466" s="123"/>
      <c r="I466" s="123"/>
      <c r="J466" s="149">
        <v>13690.47</v>
      </c>
      <c r="K466" s="148">
        <f>J466</f>
        <v>13690.47</v>
      </c>
      <c r="L466" s="148">
        <f t="shared" ref="L466:O467" si="46">K466</f>
        <v>13690.47</v>
      </c>
      <c r="M466" s="148">
        <f t="shared" si="46"/>
        <v>13690.47</v>
      </c>
      <c r="N466" s="148">
        <f t="shared" si="46"/>
        <v>13690.47</v>
      </c>
      <c r="O466" s="148">
        <f t="shared" si="46"/>
        <v>13690.47</v>
      </c>
    </row>
    <row r="467" spans="1:15" hidden="1" outlineLevel="1" x14ac:dyDescent="0.25">
      <c r="A467" s="71"/>
      <c r="B467" s="71"/>
      <c r="C467" s="71" t="s">
        <v>319</v>
      </c>
      <c r="D467" s="71"/>
      <c r="E467" s="71"/>
      <c r="F467" s="123"/>
      <c r="G467" s="123"/>
      <c r="H467" s="123"/>
      <c r="I467" s="123"/>
      <c r="J467" s="149">
        <v>1172.55</v>
      </c>
      <c r="K467" s="148">
        <f>J467</f>
        <v>1172.55</v>
      </c>
      <c r="L467" s="148">
        <f t="shared" si="46"/>
        <v>1172.55</v>
      </c>
      <c r="M467" s="148">
        <f t="shared" si="46"/>
        <v>1172.55</v>
      </c>
      <c r="N467" s="148">
        <f t="shared" si="46"/>
        <v>1172.55</v>
      </c>
      <c r="O467" s="148">
        <f t="shared" si="46"/>
        <v>1172.55</v>
      </c>
    </row>
    <row r="468" spans="1:15" hidden="1" outlineLevel="1" x14ac:dyDescent="0.25">
      <c r="A468" s="71"/>
      <c r="B468" s="71"/>
      <c r="C468" s="71"/>
      <c r="D468" s="71"/>
      <c r="E468" s="71"/>
      <c r="F468" s="123"/>
      <c r="G468" s="123"/>
      <c r="H468" s="123"/>
      <c r="I468" s="123"/>
      <c r="J468" s="123"/>
      <c r="K468" s="148"/>
      <c r="L468" s="148"/>
      <c r="M468" s="148"/>
      <c r="N468" s="148"/>
      <c r="O468" s="148"/>
    </row>
    <row r="469" spans="1:15" hidden="1" outlineLevel="1" x14ac:dyDescent="0.25">
      <c r="A469" s="71"/>
      <c r="B469" s="71"/>
      <c r="C469" s="71" t="s">
        <v>299</v>
      </c>
      <c r="D469" s="71"/>
      <c r="E469" s="71"/>
      <c r="F469" s="123"/>
      <c r="G469" s="123"/>
      <c r="H469" s="123"/>
      <c r="I469" s="123"/>
      <c r="J469" s="149">
        <v>3542.13</v>
      </c>
      <c r="K469" s="148">
        <f>J471</f>
        <v>3542.13</v>
      </c>
      <c r="L469" s="148">
        <f>K471</f>
        <v>8231.32</v>
      </c>
      <c r="M469" s="148">
        <f>L471</f>
        <v>8231.32</v>
      </c>
      <c r="N469" s="148">
        <f>M471</f>
        <v>8231.32</v>
      </c>
      <c r="O469" s="148">
        <f>N471</f>
        <v>8231.32</v>
      </c>
    </row>
    <row r="470" spans="1:15" hidden="1" outlineLevel="1" x14ac:dyDescent="0.25">
      <c r="A470" s="71"/>
      <c r="B470" s="71"/>
      <c r="C470" s="71" t="s">
        <v>301</v>
      </c>
      <c r="D470" s="71"/>
      <c r="E470" s="71"/>
      <c r="F470" s="123"/>
      <c r="G470" s="123"/>
      <c r="H470" s="123"/>
      <c r="I470" s="123"/>
      <c r="J470" s="123"/>
      <c r="K470" s="148">
        <f>K73</f>
        <v>4689.1899999999996</v>
      </c>
      <c r="L470" s="148"/>
      <c r="M470" s="148"/>
      <c r="N470" s="148"/>
      <c r="O470" s="148"/>
    </row>
    <row r="471" spans="1:15" hidden="1" outlineLevel="1" x14ac:dyDescent="0.25">
      <c r="A471" s="139"/>
      <c r="B471" s="139"/>
      <c r="C471" s="139" t="s">
        <v>314</v>
      </c>
      <c r="D471" s="139"/>
      <c r="E471" s="139"/>
      <c r="F471" s="140"/>
      <c r="G471" s="140"/>
      <c r="H471" s="140"/>
      <c r="I471" s="140"/>
      <c r="J471" s="213">
        <f t="shared" ref="J471:O471" si="47">J470+J469</f>
        <v>3542.13</v>
      </c>
      <c r="K471" s="157">
        <f t="shared" si="47"/>
        <v>8231.32</v>
      </c>
      <c r="L471" s="157">
        <f t="shared" si="47"/>
        <v>8231.32</v>
      </c>
      <c r="M471" s="157">
        <f t="shared" si="47"/>
        <v>8231.32</v>
      </c>
      <c r="N471" s="157">
        <f t="shared" si="47"/>
        <v>8231.32</v>
      </c>
      <c r="O471" s="157">
        <f t="shared" si="47"/>
        <v>8231.32</v>
      </c>
    </row>
    <row r="472" spans="1:15" hidden="1" outlineLevel="1" x14ac:dyDescent="0.25">
      <c r="A472" s="79"/>
      <c r="B472" s="79"/>
      <c r="C472" s="79"/>
      <c r="D472" s="79"/>
      <c r="E472" s="79"/>
      <c r="F472" s="119"/>
      <c r="G472" s="119"/>
      <c r="H472" s="119"/>
      <c r="I472" s="119"/>
      <c r="J472" s="119"/>
      <c r="K472" s="161"/>
      <c r="L472" s="161"/>
      <c r="M472" s="161"/>
      <c r="N472" s="161"/>
      <c r="O472" s="161"/>
    </row>
    <row r="473" spans="1:15" hidden="1" outlineLevel="1" x14ac:dyDescent="0.25">
      <c r="A473" s="79"/>
      <c r="B473" s="79"/>
      <c r="C473" s="79"/>
      <c r="D473" s="79"/>
      <c r="E473" s="79"/>
      <c r="F473" s="119"/>
      <c r="G473" s="119"/>
      <c r="H473" s="119"/>
      <c r="I473" s="119"/>
      <c r="J473" s="119"/>
      <c r="K473" s="161"/>
      <c r="L473" s="161"/>
      <c r="M473" s="161"/>
      <c r="N473" s="161"/>
      <c r="O473" s="161"/>
    </row>
    <row r="474" spans="1:15" hidden="1" outlineLevel="1" x14ac:dyDescent="0.25">
      <c r="A474" s="71"/>
      <c r="B474" s="72" t="s">
        <v>294</v>
      </c>
      <c r="C474" s="71"/>
      <c r="D474" s="71"/>
      <c r="E474" s="71"/>
      <c r="F474" s="123"/>
      <c r="G474" s="123"/>
      <c r="H474" s="123"/>
      <c r="I474" s="123"/>
      <c r="J474" s="123"/>
      <c r="K474" s="148"/>
      <c r="L474" s="148"/>
      <c r="M474" s="148"/>
      <c r="N474" s="148"/>
      <c r="O474" s="148"/>
    </row>
    <row r="475" spans="1:15" hidden="1" outlineLevel="1" x14ac:dyDescent="0.25">
      <c r="A475" s="71"/>
      <c r="B475" s="71"/>
      <c r="C475" s="71" t="s">
        <v>300</v>
      </c>
      <c r="D475" s="71"/>
      <c r="E475" s="71"/>
      <c r="F475" s="123"/>
      <c r="G475" s="123"/>
      <c r="H475" s="123"/>
      <c r="I475" s="123"/>
      <c r="J475" s="149">
        <v>9634.56</v>
      </c>
      <c r="K475" s="148">
        <f>J475</f>
        <v>9634.56</v>
      </c>
      <c r="L475" s="148">
        <f>K475</f>
        <v>9634.56</v>
      </c>
      <c r="M475" s="148">
        <f>L475</f>
        <v>9634.56</v>
      </c>
      <c r="N475" s="148">
        <f>M475</f>
        <v>9634.56</v>
      </c>
      <c r="O475" s="148">
        <f>N475</f>
        <v>9634.56</v>
      </c>
    </row>
    <row r="476" spans="1:15" hidden="1" outlineLevel="1" x14ac:dyDescent="0.25">
      <c r="A476" s="71"/>
      <c r="B476" s="71"/>
      <c r="C476" s="71"/>
      <c r="D476" s="71"/>
      <c r="E476" s="71"/>
      <c r="F476" s="123"/>
      <c r="G476" s="123"/>
      <c r="H476" s="123"/>
      <c r="I476" s="123"/>
      <c r="J476" s="123"/>
      <c r="K476" s="148"/>
      <c r="L476" s="148"/>
      <c r="M476" s="148"/>
      <c r="N476" s="148"/>
      <c r="O476" s="148"/>
    </row>
    <row r="477" spans="1:15" hidden="1" outlineLevel="1" x14ac:dyDescent="0.25">
      <c r="A477" s="71"/>
      <c r="B477" s="71"/>
      <c r="C477" s="71" t="s">
        <v>302</v>
      </c>
      <c r="D477" s="71"/>
      <c r="E477" s="71"/>
      <c r="F477" s="123"/>
      <c r="G477" s="123"/>
      <c r="H477" s="123"/>
      <c r="I477" s="123"/>
      <c r="J477" s="149">
        <v>4265.28</v>
      </c>
      <c r="K477" s="148">
        <f>J481</f>
        <v>5118.83</v>
      </c>
      <c r="L477" s="148">
        <f>K481</f>
        <v>8600.16</v>
      </c>
      <c r="M477" s="148">
        <f>L481</f>
        <v>8600.16</v>
      </c>
      <c r="N477" s="148">
        <f>M481</f>
        <v>8600.16</v>
      </c>
      <c r="O477" s="148">
        <f>N481</f>
        <v>8600.16</v>
      </c>
    </row>
    <row r="478" spans="1:15" hidden="1" outlineLevel="1" x14ac:dyDescent="0.25">
      <c r="A478" s="71"/>
      <c r="B478" s="71"/>
      <c r="C478" s="71" t="s">
        <v>164</v>
      </c>
      <c r="D478" s="71"/>
      <c r="E478" s="71"/>
      <c r="F478" s="123"/>
      <c r="G478" s="123"/>
      <c r="H478" s="123"/>
      <c r="I478" s="123"/>
      <c r="J478" s="123"/>
      <c r="K478" s="148">
        <f>K74</f>
        <v>3481.33</v>
      </c>
      <c r="L478" s="148"/>
      <c r="M478" s="148"/>
      <c r="N478" s="148"/>
      <c r="O478" s="148"/>
    </row>
    <row r="479" spans="1:15" hidden="1" outlineLevel="1" x14ac:dyDescent="0.25">
      <c r="A479" s="71"/>
      <c r="B479" s="71"/>
      <c r="C479" s="71" t="s">
        <v>156</v>
      </c>
      <c r="D479" s="71"/>
      <c r="E479" s="71"/>
      <c r="F479" s="123"/>
      <c r="G479" s="123"/>
      <c r="H479" s="123"/>
      <c r="I479" s="123"/>
      <c r="J479" s="149">
        <v>125.2</v>
      </c>
      <c r="K479" s="148"/>
      <c r="L479" s="148"/>
      <c r="M479" s="148"/>
      <c r="N479" s="148"/>
      <c r="O479" s="148"/>
    </row>
    <row r="480" spans="1:15" hidden="1" outlineLevel="1" x14ac:dyDescent="0.25">
      <c r="A480" s="71"/>
      <c r="B480" s="71"/>
      <c r="C480" s="71" t="s">
        <v>303</v>
      </c>
      <c r="D480" s="71"/>
      <c r="E480" s="71"/>
      <c r="F480" s="123"/>
      <c r="G480" s="123"/>
      <c r="H480" s="123"/>
      <c r="I480" s="123"/>
      <c r="J480" s="149">
        <v>728.35</v>
      </c>
      <c r="K480" s="148">
        <v>0</v>
      </c>
      <c r="L480" s="148">
        <v>0</v>
      </c>
      <c r="M480" s="148">
        <v>0</v>
      </c>
      <c r="N480" s="148">
        <v>0</v>
      </c>
      <c r="O480" s="148">
        <v>0</v>
      </c>
    </row>
    <row r="481" spans="1:15" hidden="1" outlineLevel="1" x14ac:dyDescent="0.25">
      <c r="A481" s="139"/>
      <c r="B481" s="139"/>
      <c r="C481" s="139" t="s">
        <v>304</v>
      </c>
      <c r="D481" s="139"/>
      <c r="E481" s="139"/>
      <c r="F481" s="140"/>
      <c r="G481" s="140"/>
      <c r="H481" s="140"/>
      <c r="I481" s="140"/>
      <c r="J481" s="140">
        <f t="shared" ref="J481:O481" si="48">SUM(J477:J480)</f>
        <v>5118.83</v>
      </c>
      <c r="K481" s="157">
        <f t="shared" si="48"/>
        <v>8600.16</v>
      </c>
      <c r="L481" s="157">
        <f t="shared" si="48"/>
        <v>8600.16</v>
      </c>
      <c r="M481" s="157">
        <f t="shared" si="48"/>
        <v>8600.16</v>
      </c>
      <c r="N481" s="157">
        <f t="shared" si="48"/>
        <v>8600.16</v>
      </c>
      <c r="O481" s="157">
        <f t="shared" si="48"/>
        <v>8600.16</v>
      </c>
    </row>
    <row r="482" spans="1:15" hidden="1" outlineLevel="1" x14ac:dyDescent="0.25">
      <c r="A482" s="71"/>
      <c r="B482" s="71"/>
      <c r="C482" s="71"/>
      <c r="D482" s="71"/>
      <c r="E482" s="71"/>
      <c r="F482" s="123"/>
      <c r="G482" s="123"/>
      <c r="H482" s="123"/>
      <c r="I482" s="123"/>
      <c r="J482" s="123"/>
      <c r="K482" s="148"/>
      <c r="L482" s="148"/>
      <c r="M482" s="148"/>
      <c r="N482" s="148"/>
      <c r="O482" s="148"/>
    </row>
    <row r="483" spans="1:15" hidden="1" outlineLevel="1" x14ac:dyDescent="0.25">
      <c r="A483" s="71"/>
      <c r="B483" s="71"/>
      <c r="C483" s="71" t="s">
        <v>305</v>
      </c>
      <c r="D483" s="71"/>
      <c r="E483" s="71"/>
      <c r="F483" s="123"/>
      <c r="G483" s="123"/>
      <c r="H483" s="123"/>
      <c r="I483" s="123"/>
      <c r="J483" s="149">
        <v>2060.1</v>
      </c>
      <c r="K483" s="148">
        <f>J486</f>
        <v>2770.39</v>
      </c>
      <c r="L483" s="148">
        <f>K486</f>
        <v>3199.9234527393278</v>
      </c>
      <c r="M483" s="148">
        <f>L486</f>
        <v>3921.5837577134444</v>
      </c>
      <c r="N483" s="148">
        <f>M486</f>
        <v>4643.2440626875614</v>
      </c>
      <c r="O483" s="148">
        <f>N486</f>
        <v>5364.9043676616784</v>
      </c>
    </row>
    <row r="484" spans="1:15" hidden="1" outlineLevel="1" x14ac:dyDescent="0.25">
      <c r="A484" s="71"/>
      <c r="B484" s="71"/>
      <c r="C484" s="71" t="s">
        <v>306</v>
      </c>
      <c r="D484" s="71"/>
      <c r="E484" s="71"/>
      <c r="F484" s="123"/>
      <c r="G484" s="123"/>
      <c r="H484" s="123"/>
      <c r="I484" s="123"/>
      <c r="J484" s="149">
        <v>357.91</v>
      </c>
      <c r="K484" s="148">
        <f>$J$488*K477</f>
        <v>429.53345273932786</v>
      </c>
      <c r="L484" s="148">
        <f>$J$488*L477</f>
        <v>721.66030497411668</v>
      </c>
      <c r="M484" s="148">
        <f>$J$488*M477</f>
        <v>721.66030497411668</v>
      </c>
      <c r="N484" s="148">
        <f>$J$488*N477</f>
        <v>721.66030497411668</v>
      </c>
      <c r="O484" s="148">
        <f>$J$488*O477</f>
        <v>721.66030497411668</v>
      </c>
    </row>
    <row r="485" spans="1:15" hidden="1" outlineLevel="1" x14ac:dyDescent="0.25">
      <c r="A485" s="71"/>
      <c r="B485" s="71"/>
      <c r="C485" s="71" t="s">
        <v>307</v>
      </c>
      <c r="D485" s="71"/>
      <c r="E485" s="71"/>
      <c r="F485" s="123"/>
      <c r="G485" s="123"/>
      <c r="H485" s="123"/>
      <c r="I485" s="123"/>
      <c r="J485" s="149">
        <v>352.38</v>
      </c>
      <c r="K485" s="148">
        <v>0</v>
      </c>
      <c r="L485" s="148">
        <v>0</v>
      </c>
      <c r="M485" s="148">
        <v>0</v>
      </c>
      <c r="N485" s="148">
        <v>0</v>
      </c>
      <c r="O485" s="148">
        <v>0</v>
      </c>
    </row>
    <row r="486" spans="1:15" hidden="1" outlineLevel="1" x14ac:dyDescent="0.25">
      <c r="A486" s="139"/>
      <c r="B486" s="139"/>
      <c r="C486" s="139" t="s">
        <v>308</v>
      </c>
      <c r="D486" s="139"/>
      <c r="E486" s="139"/>
      <c r="F486" s="140"/>
      <c r="G486" s="140"/>
      <c r="H486" s="140"/>
      <c r="I486" s="140"/>
      <c r="J486" s="140">
        <f t="shared" ref="J486:O486" si="49">SUM(J483:J485)</f>
        <v>2770.39</v>
      </c>
      <c r="K486" s="157">
        <f t="shared" si="49"/>
        <v>3199.9234527393278</v>
      </c>
      <c r="L486" s="157">
        <f t="shared" si="49"/>
        <v>3921.5837577134444</v>
      </c>
      <c r="M486" s="157">
        <f t="shared" si="49"/>
        <v>4643.2440626875614</v>
      </c>
      <c r="N486" s="157">
        <f t="shared" si="49"/>
        <v>5364.9043676616784</v>
      </c>
      <c r="O486" s="157">
        <f t="shared" si="49"/>
        <v>6086.5646726357954</v>
      </c>
    </row>
    <row r="487" spans="1:15" hidden="1" outlineLevel="1" x14ac:dyDescent="0.25">
      <c r="A487" s="79"/>
      <c r="B487" s="79"/>
      <c r="C487" s="79"/>
      <c r="D487" s="79"/>
      <c r="E487" s="79"/>
      <c r="F487" s="119"/>
      <c r="G487" s="119"/>
      <c r="H487" s="119"/>
      <c r="I487" s="119"/>
      <c r="J487" s="119"/>
      <c r="K487" s="161"/>
      <c r="L487" s="161"/>
      <c r="M487" s="161"/>
      <c r="N487" s="161"/>
      <c r="O487" s="161"/>
    </row>
    <row r="488" spans="1:15" hidden="1" outlineLevel="1" x14ac:dyDescent="0.25">
      <c r="A488" s="79"/>
      <c r="B488" s="79"/>
      <c r="C488" s="127" t="s">
        <v>310</v>
      </c>
      <c r="D488" s="79"/>
      <c r="E488" s="79"/>
      <c r="F488" s="119"/>
      <c r="G488" s="119"/>
      <c r="H488" s="119"/>
      <c r="I488" s="119"/>
      <c r="J488" s="214">
        <f>J484/J477</f>
        <v>8.3912427789031449E-2</v>
      </c>
      <c r="K488" s="161"/>
      <c r="L488" s="161"/>
      <c r="M488" s="161"/>
      <c r="N488" s="161"/>
      <c r="O488" s="161"/>
    </row>
    <row r="489" spans="1:15" hidden="1" outlineLevel="1" x14ac:dyDescent="0.25">
      <c r="A489" s="71"/>
      <c r="B489" s="71"/>
      <c r="C489" s="71"/>
      <c r="D489" s="71"/>
      <c r="E489" s="71"/>
      <c r="F489" s="123"/>
      <c r="G489" s="123"/>
      <c r="H489" s="123"/>
      <c r="I489" s="123"/>
      <c r="J489" s="123"/>
      <c r="K489" s="148"/>
      <c r="L489" s="148"/>
      <c r="M489" s="148"/>
      <c r="N489" s="148"/>
      <c r="O489" s="148"/>
    </row>
    <row r="490" spans="1:15" hidden="1" outlineLevel="1" x14ac:dyDescent="0.25">
      <c r="A490" s="139"/>
      <c r="B490" s="139"/>
      <c r="C490" s="139" t="s">
        <v>309</v>
      </c>
      <c r="D490" s="139"/>
      <c r="E490" s="139"/>
      <c r="F490" s="140"/>
      <c r="G490" s="140"/>
      <c r="H490" s="140"/>
      <c r="I490" s="140"/>
      <c r="J490" s="140">
        <f t="shared" ref="J490:O490" si="50">J481-J486</f>
        <v>2348.44</v>
      </c>
      <c r="K490" s="157">
        <f t="shared" si="50"/>
        <v>5400.2365472606725</v>
      </c>
      <c r="L490" s="157">
        <f t="shared" si="50"/>
        <v>4678.5762422865555</v>
      </c>
      <c r="M490" s="157">
        <f t="shared" si="50"/>
        <v>3956.9159373124385</v>
      </c>
      <c r="N490" s="157">
        <f t="shared" si="50"/>
        <v>3235.2556323383214</v>
      </c>
      <c r="O490" s="157">
        <f t="shared" si="50"/>
        <v>2513.5953273642044</v>
      </c>
    </row>
    <row r="491" spans="1:15" hidden="1" outlineLevel="1" x14ac:dyDescent="0.25">
      <c r="A491" s="71"/>
      <c r="B491" s="71"/>
      <c r="C491" s="71"/>
      <c r="D491" s="71"/>
      <c r="E491" s="71"/>
      <c r="F491" s="123"/>
      <c r="G491" s="123"/>
      <c r="H491" s="123"/>
      <c r="I491" s="123"/>
      <c r="J491" s="123">
        <f>J178-J490-J475</f>
        <v>44.829999999999927</v>
      </c>
      <c r="K491" s="148">
        <f>J491</f>
        <v>44.829999999999927</v>
      </c>
      <c r="L491" s="148">
        <f>K491</f>
        <v>44.829999999999927</v>
      </c>
      <c r="M491" s="148">
        <f>L491</f>
        <v>44.829999999999927</v>
      </c>
      <c r="N491" s="148">
        <f>M491</f>
        <v>44.829999999999927</v>
      </c>
      <c r="O491" s="148">
        <f>N491</f>
        <v>44.829999999999927</v>
      </c>
    </row>
    <row r="492" spans="1:15" hidden="1" outlineLevel="1" x14ac:dyDescent="0.25">
      <c r="A492" s="71"/>
      <c r="B492" s="71"/>
      <c r="C492" s="72" t="s">
        <v>313</v>
      </c>
      <c r="D492" s="71"/>
      <c r="E492" s="71"/>
      <c r="F492" s="123"/>
      <c r="G492" s="123"/>
      <c r="H492" s="123"/>
      <c r="I492" s="123"/>
      <c r="J492" s="123"/>
      <c r="K492" s="148">
        <f>K490+K475+K491</f>
        <v>15079.626547260672</v>
      </c>
      <c r="L492" s="148">
        <f>L490+L475+L491</f>
        <v>14357.966242286555</v>
      </c>
      <c r="M492" s="148">
        <f>M490+M475+M491</f>
        <v>13636.305937312438</v>
      </c>
      <c r="N492" s="148">
        <f>N490+N475+N491</f>
        <v>12914.645632338321</v>
      </c>
      <c r="O492" s="148">
        <f>O490+O475+O491</f>
        <v>12192.985327364204</v>
      </c>
    </row>
    <row r="493" spans="1:15" hidden="1" outlineLevel="1" x14ac:dyDescent="0.25">
      <c r="A493" s="71"/>
      <c r="B493" s="71"/>
      <c r="C493" s="72"/>
      <c r="D493" s="71"/>
      <c r="E493" s="71"/>
      <c r="F493" s="123"/>
      <c r="G493" s="123"/>
      <c r="H493" s="123"/>
      <c r="I493" s="123"/>
      <c r="J493" s="123"/>
      <c r="K493" s="148"/>
      <c r="L493" s="148"/>
      <c r="M493" s="148"/>
      <c r="N493" s="148"/>
      <c r="O493" s="148"/>
    </row>
    <row r="494" spans="1:15" hidden="1" outlineLevel="1" x14ac:dyDescent="0.25">
      <c r="A494" s="71"/>
      <c r="B494" s="71"/>
      <c r="C494" s="72" t="s">
        <v>318</v>
      </c>
      <c r="D494" s="71"/>
      <c r="E494" s="71"/>
      <c r="F494" s="123"/>
      <c r="G494" s="123"/>
      <c r="H494" s="123"/>
      <c r="I494" s="123"/>
      <c r="J494" s="123"/>
      <c r="K494" s="148">
        <f>K484+K467</f>
        <v>1602.0834527393279</v>
      </c>
      <c r="L494" s="148">
        <f>L484+L467</f>
        <v>1894.2103049741168</v>
      </c>
      <c r="M494" s="148">
        <f>M484+M467</f>
        <v>1894.2103049741168</v>
      </c>
      <c r="N494" s="148">
        <f>N484+N467</f>
        <v>1894.2103049741168</v>
      </c>
      <c r="O494" s="148">
        <f>O484+O467</f>
        <v>1894.2103049741168</v>
      </c>
    </row>
    <row r="495" spans="1:15" hidden="1" outlineLevel="1" x14ac:dyDescent="0.25">
      <c r="A495" s="71"/>
      <c r="B495" s="71"/>
      <c r="C495" s="72" t="s">
        <v>312</v>
      </c>
      <c r="D495" s="71"/>
      <c r="E495" s="71"/>
      <c r="F495" s="123"/>
      <c r="G495" s="123"/>
      <c r="H495" s="123"/>
      <c r="I495" s="123"/>
      <c r="J495" s="123"/>
      <c r="K495" s="148">
        <f>K484+K447+K406</f>
        <v>14704.662885656167</v>
      </c>
      <c r="L495" s="148">
        <f>L484+L447+L406</f>
        <v>15918.178035509047</v>
      </c>
      <c r="M495" s="148">
        <f>M484+M447+M406</f>
        <v>16898.660334740984</v>
      </c>
      <c r="N495" s="148">
        <f>N484+N447+N406</f>
        <v>17977.560036658579</v>
      </c>
      <c r="O495" s="148">
        <f>O484+O447+O406</f>
        <v>19148.929745904767</v>
      </c>
    </row>
    <row r="496" spans="1:15" hidden="1" outlineLevel="1" x14ac:dyDescent="0.25">
      <c r="A496" s="71"/>
      <c r="B496" s="71"/>
      <c r="C496" s="71"/>
      <c r="D496" s="71"/>
      <c r="E496" s="71"/>
      <c r="F496" s="123"/>
      <c r="G496" s="123"/>
      <c r="H496" s="123"/>
      <c r="I496" s="123"/>
      <c r="J496" s="123"/>
      <c r="K496" s="148"/>
      <c r="L496" s="148"/>
      <c r="M496" s="148"/>
      <c r="N496" s="148"/>
      <c r="O496" s="148"/>
    </row>
    <row r="497" spans="1:15" hidden="1" outlineLevel="1" x14ac:dyDescent="0.25">
      <c r="A497" s="71"/>
      <c r="B497" s="72" t="s">
        <v>350</v>
      </c>
      <c r="C497" s="71"/>
      <c r="D497" s="71"/>
      <c r="E497" s="71"/>
      <c r="F497" s="123"/>
      <c r="G497" s="123"/>
      <c r="H497" s="123"/>
      <c r="I497" s="123"/>
      <c r="J497" s="123"/>
      <c r="K497" s="148"/>
      <c r="L497" s="148"/>
      <c r="M497" s="148"/>
      <c r="N497" s="148"/>
      <c r="O497" s="148"/>
    </row>
    <row r="498" spans="1:15" hidden="1" outlineLevel="1" x14ac:dyDescent="0.25">
      <c r="A498" s="71"/>
      <c r="B498" s="71"/>
      <c r="C498" s="71" t="s">
        <v>100</v>
      </c>
      <c r="D498" s="71"/>
      <c r="E498" s="71"/>
      <c r="F498" s="123"/>
      <c r="G498" s="123"/>
      <c r="H498" s="123"/>
      <c r="I498" s="123"/>
      <c r="J498" s="123">
        <f>J205</f>
        <v>8100.11</v>
      </c>
      <c r="K498" s="148">
        <f>J498*(1+K461)</f>
        <v>9734.9086165008284</v>
      </c>
      <c r="L498" s="148">
        <f>K498*(1+L461)</f>
        <v>11097.434937010938</v>
      </c>
      <c r="M498" s="148">
        <f>L498*(1+M461)</f>
        <v>12583.361500434787</v>
      </c>
      <c r="N498" s="148">
        <f>M498*(1+N461)</f>
        <v>14188.792674543723</v>
      </c>
      <c r="O498" s="148">
        <f>N498*(1+O461)</f>
        <v>15861.558428224493</v>
      </c>
    </row>
    <row r="499" spans="1:15" hidden="1" outlineLevel="1" x14ac:dyDescent="0.25">
      <c r="A499" s="71"/>
      <c r="B499" s="71"/>
      <c r="C499" s="71"/>
      <c r="D499" s="71"/>
      <c r="E499" s="71"/>
      <c r="F499" s="123"/>
      <c r="G499" s="123"/>
      <c r="H499" s="123"/>
      <c r="I499" s="123"/>
      <c r="J499" s="123"/>
      <c r="K499" s="148"/>
      <c r="L499" s="148"/>
      <c r="M499" s="148"/>
      <c r="N499" s="148"/>
      <c r="O499" s="148"/>
    </row>
    <row r="500" spans="1:15" hidden="1" outlineLevel="1" x14ac:dyDescent="0.25">
      <c r="A500" s="71"/>
      <c r="B500" s="71"/>
      <c r="C500" s="71" t="s">
        <v>351</v>
      </c>
      <c r="D500" s="71"/>
      <c r="E500" s="71"/>
      <c r="F500" s="123"/>
      <c r="G500" s="123"/>
      <c r="H500" s="123"/>
      <c r="I500" s="123"/>
      <c r="J500" s="123"/>
      <c r="K500" s="148">
        <f>J465-K465</f>
        <v>-658.34060859604097</v>
      </c>
      <c r="L500" s="148">
        <f>K465-L465</f>
        <v>-548.69535490110002</v>
      </c>
      <c r="M500" s="148">
        <f>L465-M465</f>
        <v>-598.38917663592565</v>
      </c>
      <c r="N500" s="148">
        <f>M465-N465</f>
        <v>-646.5142101014244</v>
      </c>
      <c r="O500" s="148">
        <f>N465-O465</f>
        <v>-673.63014208683398</v>
      </c>
    </row>
    <row r="501" spans="1:15" hidden="1" outlineLevel="1" x14ac:dyDescent="0.25">
      <c r="A501" s="71"/>
      <c r="B501" s="71"/>
      <c r="C501" s="71" t="s">
        <v>352</v>
      </c>
      <c r="D501" s="71"/>
      <c r="E501" s="71"/>
      <c r="F501" s="123"/>
      <c r="G501" s="123"/>
      <c r="H501" s="123"/>
      <c r="I501" s="123"/>
      <c r="J501" s="123"/>
      <c r="K501" s="148">
        <f>K498-J498</f>
        <v>1634.7986165008288</v>
      </c>
      <c r="L501" s="148">
        <f>L498-K498</f>
        <v>1362.5263205101091</v>
      </c>
      <c r="M501" s="148">
        <f>M498-L498</f>
        <v>1485.9265634238491</v>
      </c>
      <c r="N501" s="148">
        <f>N498-M498</f>
        <v>1605.4311741089368</v>
      </c>
      <c r="O501" s="148">
        <f>O498-N498</f>
        <v>1672.7657536807692</v>
      </c>
    </row>
    <row r="502" spans="1:15" hidden="1" outlineLevel="1" x14ac:dyDescent="0.25">
      <c r="A502" s="139"/>
      <c r="B502" s="139"/>
      <c r="C502" s="139" t="s">
        <v>40</v>
      </c>
      <c r="D502" s="139"/>
      <c r="E502" s="139"/>
      <c r="F502" s="140"/>
      <c r="G502" s="140"/>
      <c r="H502" s="140"/>
      <c r="I502" s="140"/>
      <c r="J502" s="140"/>
      <c r="K502" s="157">
        <f>K501+K500</f>
        <v>976.45800790478779</v>
      </c>
      <c r="L502" s="157">
        <f>L501+L500</f>
        <v>813.83096560900913</v>
      </c>
      <c r="M502" s="157">
        <f>M501+M500</f>
        <v>887.53738678792342</v>
      </c>
      <c r="N502" s="157">
        <f>N501+N500</f>
        <v>958.91696400751243</v>
      </c>
      <c r="O502" s="157">
        <f>O501+O500</f>
        <v>999.13561159393521</v>
      </c>
    </row>
    <row r="503" spans="1:15" hidden="1" outlineLevel="1" x14ac:dyDescent="0.25">
      <c r="A503" s="71"/>
      <c r="B503" s="71"/>
      <c r="C503" s="71"/>
      <c r="D503" s="71"/>
      <c r="E503" s="71"/>
      <c r="F503" s="123"/>
      <c r="G503" s="123"/>
      <c r="H503" s="123"/>
      <c r="I503" s="123"/>
      <c r="J503" s="123"/>
      <c r="K503" s="148"/>
      <c r="L503" s="148"/>
      <c r="M503" s="148"/>
      <c r="N503" s="148"/>
      <c r="O503" s="148"/>
    </row>
    <row r="504" spans="1:15" collapsed="1" x14ac:dyDescent="0.25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</row>
    <row r="505" spans="1:15" ht="25.5" x14ac:dyDescent="0.35">
      <c r="A505" s="142" t="s">
        <v>353</v>
      </c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5"/>
    </row>
    <row r="506" spans="1:15" hidden="1" outlineLevel="1" x14ac:dyDescent="0.25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</row>
    <row r="507" spans="1:15" hidden="1" outlineLevel="1" x14ac:dyDescent="0.25">
      <c r="A507" s="144" t="s">
        <v>155</v>
      </c>
      <c r="B507" s="86"/>
      <c r="C507" s="86"/>
      <c r="D507" s="86"/>
      <c r="E507" s="86"/>
      <c r="F507" s="145">
        <f>G507-1</f>
        <v>2021</v>
      </c>
      <c r="G507" s="145">
        <f>H507-1</f>
        <v>2022</v>
      </c>
      <c r="H507" s="145">
        <f>I507-1</f>
        <v>2023</v>
      </c>
      <c r="I507" s="145">
        <f>J507-1</f>
        <v>2024</v>
      </c>
      <c r="J507" s="145">
        <f>K507-1</f>
        <v>2025</v>
      </c>
      <c r="K507" s="146">
        <f>K$82</f>
        <v>2026</v>
      </c>
      <c r="L507" s="146">
        <f>L$82</f>
        <v>2027</v>
      </c>
      <c r="M507" s="146">
        <f>M$82</f>
        <v>2028</v>
      </c>
      <c r="N507" s="146">
        <f>N$82</f>
        <v>2029</v>
      </c>
      <c r="O507" s="146">
        <f>O$82</f>
        <v>2030</v>
      </c>
    </row>
    <row r="508" spans="1:15" hidden="1" outlineLevel="1" x14ac:dyDescent="0.25">
      <c r="A508" s="71"/>
      <c r="B508" s="71" t="s">
        <v>353</v>
      </c>
      <c r="C508" s="71"/>
      <c r="D508" s="71"/>
      <c r="E508" s="71"/>
      <c r="F508" s="71"/>
      <c r="G508" s="71"/>
      <c r="H508" s="71"/>
      <c r="I508" s="71"/>
      <c r="J508" s="71"/>
      <c r="K508" s="147"/>
      <c r="L508" s="147"/>
      <c r="M508" s="147"/>
      <c r="N508" s="147"/>
      <c r="O508" s="147"/>
    </row>
    <row r="509" spans="1:15" hidden="1" outlineLevel="1" x14ac:dyDescent="0.25">
      <c r="A509" s="71"/>
      <c r="B509" s="71"/>
      <c r="C509" s="71" t="s">
        <v>354</v>
      </c>
      <c r="D509" s="71"/>
      <c r="E509" s="71"/>
      <c r="F509" s="183">
        <f>-F142</f>
        <v>1242.28</v>
      </c>
      <c r="G509" s="183">
        <f>-G142</f>
        <v>3733.29</v>
      </c>
      <c r="H509" s="183">
        <f>-H142</f>
        <v>6679.39</v>
      </c>
      <c r="I509" s="183">
        <f>-I142</f>
        <v>7275.66</v>
      </c>
      <c r="J509" s="183">
        <f>-J142</f>
        <v>8881.51</v>
      </c>
      <c r="K509" s="147"/>
      <c r="L509" s="147"/>
      <c r="M509" s="147"/>
      <c r="N509" s="147"/>
      <c r="O509" s="147"/>
    </row>
    <row r="510" spans="1:15" hidden="1" outlineLevel="1" x14ac:dyDescent="0.25">
      <c r="A510" s="71"/>
      <c r="B510" s="71"/>
      <c r="C510" s="71" t="s">
        <v>355</v>
      </c>
      <c r="D510" s="71"/>
      <c r="E510" s="71"/>
      <c r="F510" s="183">
        <f>-F105</f>
        <v>2605.56</v>
      </c>
      <c r="G510" s="183">
        <f>-G105</f>
        <v>4735.2299999999996</v>
      </c>
      <c r="H510" s="183">
        <f>-H105</f>
        <v>6375.47</v>
      </c>
      <c r="I510" s="183">
        <f>-I105</f>
        <v>7988.04</v>
      </c>
      <c r="J510" s="183">
        <f>-J105</f>
        <v>9476.06</v>
      </c>
      <c r="K510" s="147"/>
      <c r="L510" s="147"/>
      <c r="M510" s="147"/>
      <c r="N510" s="147"/>
      <c r="O510" s="147"/>
    </row>
    <row r="511" spans="1:15" hidden="1" outlineLevel="1" x14ac:dyDescent="0.25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147"/>
      <c r="L511" s="147"/>
      <c r="M511" s="147"/>
      <c r="N511" s="147"/>
      <c r="O511" s="147"/>
    </row>
    <row r="512" spans="1:15" hidden="1" outlineLevel="1" x14ac:dyDescent="0.25">
      <c r="A512" s="71"/>
      <c r="B512" s="71"/>
      <c r="C512" s="71" t="s">
        <v>356</v>
      </c>
      <c r="D512" s="71"/>
      <c r="E512" s="71"/>
      <c r="F512" s="183">
        <f t="shared" ref="F512:O512" si="51">F104</f>
        <v>10066.080000000002</v>
      </c>
      <c r="G512" s="183">
        <f t="shared" si="51"/>
        <v>20236.369999999963</v>
      </c>
      <c r="H512" s="183">
        <f t="shared" si="51"/>
        <v>27393.599999999984</v>
      </c>
      <c r="I512" s="183">
        <f t="shared" si="51"/>
        <v>34330.889999999985</v>
      </c>
      <c r="J512" s="183">
        <f t="shared" si="51"/>
        <v>40096.480000000032</v>
      </c>
      <c r="K512" s="181">
        <f t="shared" ca="1" si="51"/>
        <v>39058.600637229363</v>
      </c>
      <c r="L512" s="181">
        <f t="shared" ca="1" si="51"/>
        <v>46418.888748884085</v>
      </c>
      <c r="M512" s="181">
        <f t="shared" ca="1" si="51"/>
        <v>55252.327311528032</v>
      </c>
      <c r="N512" s="181">
        <f t="shared" ca="1" si="51"/>
        <v>64992.407869991846</v>
      </c>
      <c r="O512" s="181">
        <f t="shared" ca="1" si="51"/>
        <v>75367.927376562206</v>
      </c>
    </row>
    <row r="513" spans="1:15" hidden="1" outlineLevel="1" x14ac:dyDescent="0.25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147"/>
      <c r="L513" s="147"/>
      <c r="M513" s="147"/>
      <c r="N513" s="147"/>
      <c r="O513" s="147"/>
    </row>
    <row r="514" spans="1:15" hidden="1" outlineLevel="1" x14ac:dyDescent="0.25">
      <c r="A514" s="71"/>
      <c r="B514" s="71"/>
      <c r="C514" s="71" t="s">
        <v>357</v>
      </c>
      <c r="D514" s="71"/>
      <c r="E514" s="71"/>
      <c r="F514" s="184">
        <f>F509/F512</f>
        <v>0.12341249026433326</v>
      </c>
      <c r="G514" s="184">
        <f>G509/G512</f>
        <v>0.18448417379203913</v>
      </c>
      <c r="H514" s="184">
        <f>H509/H512</f>
        <v>0.24383031072951361</v>
      </c>
      <c r="I514" s="184">
        <f>I509/I512</f>
        <v>0.21192750901593296</v>
      </c>
      <c r="J514" s="184">
        <f>J509/J512</f>
        <v>0.2215034835975625</v>
      </c>
      <c r="K514" s="147"/>
      <c r="L514" s="147"/>
      <c r="M514" s="147"/>
      <c r="N514" s="147"/>
      <c r="O514" s="147"/>
    </row>
    <row r="515" spans="1:15" hidden="1" outlineLevel="1" x14ac:dyDescent="0.25">
      <c r="A515" s="71"/>
      <c r="B515" s="71"/>
      <c r="C515" s="71" t="s">
        <v>359</v>
      </c>
      <c r="D515" s="71"/>
      <c r="E515" s="71"/>
      <c r="F515" s="71"/>
      <c r="G515" s="71"/>
      <c r="H515" s="71"/>
      <c r="I515" s="71"/>
      <c r="J515" s="122">
        <f>AVERAGE(H514:J514)</f>
        <v>0.22575376778100301</v>
      </c>
      <c r="K515" s="147"/>
      <c r="L515" s="147"/>
      <c r="M515" s="147"/>
      <c r="N515" s="147"/>
      <c r="O515" s="147"/>
    </row>
    <row r="516" spans="1:15" hidden="1" outlineLevel="1" x14ac:dyDescent="0.25">
      <c r="A516" s="71"/>
      <c r="B516" s="71"/>
      <c r="C516" s="71" t="s">
        <v>358</v>
      </c>
      <c r="D516" s="71"/>
      <c r="E516" s="71"/>
      <c r="F516" s="184">
        <f>F510/F512</f>
        <v>0.25884554861475367</v>
      </c>
      <c r="G516" s="184">
        <f>G510/G512</f>
        <v>0.23399601806055179</v>
      </c>
      <c r="H516" s="184">
        <f>H510/H512</f>
        <v>0.23273574849599921</v>
      </c>
      <c r="I516" s="184">
        <f>I510/I512</f>
        <v>0.23267791775861341</v>
      </c>
      <c r="J516" s="184">
        <f>J510/J512</f>
        <v>0.23633146849798267</v>
      </c>
      <c r="K516" s="147"/>
      <c r="L516" s="147"/>
      <c r="M516" s="147"/>
      <c r="N516" s="147"/>
      <c r="O516" s="147"/>
    </row>
    <row r="517" spans="1:15" hidden="1" outlineLevel="1" x14ac:dyDescent="0.25">
      <c r="A517" s="71"/>
      <c r="B517" s="71"/>
      <c r="C517" s="71" t="s">
        <v>359</v>
      </c>
      <c r="D517" s="71"/>
      <c r="E517" s="71"/>
      <c r="F517" s="71"/>
      <c r="G517" s="71"/>
      <c r="H517" s="71"/>
      <c r="I517" s="71"/>
      <c r="J517" s="122">
        <f>AVERAGE(H516:J516)</f>
        <v>0.23391504491753176</v>
      </c>
      <c r="K517" s="215">
        <f>J517</f>
        <v>0.23391504491753176</v>
      </c>
      <c r="L517" s="215">
        <f>K517</f>
        <v>0.23391504491753176</v>
      </c>
      <c r="M517" s="215">
        <f>L517</f>
        <v>0.23391504491753176</v>
      </c>
      <c r="N517" s="215">
        <f>M517</f>
        <v>0.23391504491753176</v>
      </c>
      <c r="O517" s="215">
        <f>N517</f>
        <v>0.23391504491753176</v>
      </c>
    </row>
    <row r="518" spans="1:15" hidden="1" outlineLevel="1" x14ac:dyDescent="0.25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147"/>
      <c r="L518" s="147"/>
      <c r="M518" s="147"/>
      <c r="N518" s="147"/>
      <c r="O518" s="147"/>
    </row>
    <row r="519" spans="1:15" hidden="1" outlineLevel="1" x14ac:dyDescent="0.25">
      <c r="A519" s="71"/>
      <c r="B519" s="71"/>
      <c r="C519" s="72" t="s">
        <v>360</v>
      </c>
      <c r="D519" s="71"/>
      <c r="E519" s="71"/>
      <c r="F519" s="71"/>
      <c r="G519" s="71"/>
      <c r="H519" s="71"/>
      <c r="I519" s="71"/>
      <c r="J519" s="71"/>
      <c r="K519" s="181">
        <f ca="1">K512*K517</f>
        <v>9136.3943224734412</v>
      </c>
      <c r="L519" s="181">
        <f ca="1">L512*L517</f>
        <v>10858.07644671713</v>
      </c>
      <c r="M519" s="181">
        <f ca="1">M512*M517</f>
        <v>12924.350624874247</v>
      </c>
      <c r="N519" s="181">
        <f ca="1">N512*N517</f>
        <v>15202.702006207688</v>
      </c>
      <c r="O519" s="181">
        <f ca="1">O512*O517</f>
        <v>17629.69211762982</v>
      </c>
    </row>
    <row r="520" spans="1:15" hidden="1" outlineLevel="1" x14ac:dyDescent="0.25">
      <c r="A520" s="71"/>
      <c r="B520" s="71"/>
      <c r="C520" s="72"/>
      <c r="D520" s="71"/>
      <c r="E520" s="71"/>
      <c r="F520" s="71"/>
      <c r="G520" s="71"/>
      <c r="H520" s="71"/>
      <c r="I520" s="71"/>
      <c r="J520" s="71"/>
      <c r="K520" s="147"/>
      <c r="L520" s="147"/>
      <c r="M520" s="147"/>
      <c r="N520" s="147"/>
      <c r="O520" s="147"/>
    </row>
    <row r="521" spans="1:15" hidden="1" outlineLevel="1" x14ac:dyDescent="0.25">
      <c r="A521" s="71"/>
      <c r="B521" s="71"/>
      <c r="C521" s="71" t="s">
        <v>129</v>
      </c>
      <c r="D521" s="71"/>
      <c r="E521" s="71"/>
      <c r="F521" s="71"/>
      <c r="G521" s="71"/>
      <c r="H521" s="71"/>
      <c r="I521" s="71"/>
      <c r="J521" s="183">
        <f t="shared" ref="J521:O521" si="52">J87</f>
        <v>216853.79</v>
      </c>
      <c r="K521" s="181">
        <f t="shared" si="52"/>
        <v>260620.14328100003</v>
      </c>
      <c r="L521" s="181">
        <f t="shared" si="52"/>
        <v>297097.30181062146</v>
      </c>
      <c r="M521" s="181">
        <f t="shared" si="52"/>
        <v>336878.09576775751</v>
      </c>
      <c r="N521" s="181">
        <f t="shared" si="52"/>
        <v>379858.23241894774</v>
      </c>
      <c r="O521" s="181">
        <f t="shared" si="52"/>
        <v>424641.03085846046</v>
      </c>
    </row>
    <row r="522" spans="1:15" hidden="1" outlineLevel="1" x14ac:dyDescent="0.25">
      <c r="A522" s="71"/>
      <c r="B522" s="71"/>
      <c r="C522" s="71" t="s">
        <v>348</v>
      </c>
      <c r="D522" s="71"/>
      <c r="E522" s="71"/>
      <c r="F522" s="71"/>
      <c r="G522" s="71"/>
      <c r="H522" s="71"/>
      <c r="I522" s="71"/>
      <c r="J522" s="71"/>
      <c r="K522" s="189">
        <f>K521/J521-1</f>
        <v>0.2018242488683275</v>
      </c>
      <c r="L522" s="189">
        <f>L521/K521-1</f>
        <v>0.13996292869155491</v>
      </c>
      <c r="M522" s="189">
        <f>M521/L521-1</f>
        <v>0.13389820006676967</v>
      </c>
      <c r="N522" s="189">
        <f>N521/M521-1</f>
        <v>0.12758364877727346</v>
      </c>
      <c r="O522" s="189">
        <f>O521/N521-1</f>
        <v>0.11789345239231652</v>
      </c>
    </row>
    <row r="523" spans="1:15" hidden="1" outlineLevel="1" x14ac:dyDescent="0.25">
      <c r="A523" s="71"/>
      <c r="B523" s="71"/>
      <c r="C523" s="71"/>
      <c r="D523" s="71"/>
      <c r="E523" s="71"/>
      <c r="F523" s="123"/>
      <c r="G523" s="123"/>
      <c r="H523" s="123"/>
      <c r="I523" s="123"/>
      <c r="J523" s="123"/>
      <c r="K523" s="148"/>
      <c r="L523" s="148"/>
      <c r="M523" s="148"/>
      <c r="N523" s="148"/>
      <c r="O523" s="148"/>
    </row>
    <row r="524" spans="1:15" hidden="1" outlineLevel="1" x14ac:dyDescent="0.25">
      <c r="A524" s="71"/>
      <c r="B524" s="71"/>
      <c r="C524" s="71" t="s">
        <v>361</v>
      </c>
      <c r="D524" s="71"/>
      <c r="E524" s="71"/>
      <c r="F524" s="123"/>
      <c r="G524" s="123"/>
      <c r="H524" s="123"/>
      <c r="I524" s="123"/>
      <c r="J524" s="149">
        <v>244.4</v>
      </c>
      <c r="K524" s="148">
        <f>J524*(1+K522)</f>
        <v>293.72584642341923</v>
      </c>
      <c r="L524" s="148">
        <f>K524*(1+L522)</f>
        <v>334.83657612124688</v>
      </c>
      <c r="M524" s="148">
        <f>L524*(1+M522)</f>
        <v>379.67059098040176</v>
      </c>
      <c r="N524" s="148">
        <f>M524*(1+N522)</f>
        <v>428.11035031110521</v>
      </c>
      <c r="O524" s="148">
        <f>N524*(1+O522)</f>
        <v>478.58175751416542</v>
      </c>
    </row>
    <row r="525" spans="1:15" hidden="1" outlineLevel="1" x14ac:dyDescent="0.25">
      <c r="A525" s="71"/>
      <c r="B525" s="71"/>
      <c r="C525" s="71" t="s">
        <v>363</v>
      </c>
      <c r="D525" s="71"/>
      <c r="E525" s="71"/>
      <c r="F525" s="123"/>
      <c r="G525" s="123"/>
      <c r="H525" s="123"/>
      <c r="I525" s="123"/>
      <c r="J525" s="123"/>
      <c r="K525" s="148">
        <f>K524-J524</f>
        <v>49.325846423419222</v>
      </c>
      <c r="L525" s="148">
        <f>L524-K524</f>
        <v>41.110729697827651</v>
      </c>
      <c r="M525" s="148">
        <f>M524-L524</f>
        <v>44.834014859154877</v>
      </c>
      <c r="N525" s="148">
        <f>N524-M524</f>
        <v>48.439759330703453</v>
      </c>
      <c r="O525" s="148">
        <f>O524-N524</f>
        <v>50.47140720306021</v>
      </c>
    </row>
    <row r="526" spans="1:15" hidden="1" outlineLevel="1" x14ac:dyDescent="0.25">
      <c r="A526" s="71"/>
      <c r="B526" s="71"/>
      <c r="C526" s="71" t="s">
        <v>362</v>
      </c>
      <c r="D526" s="71"/>
      <c r="E526" s="71"/>
      <c r="F526" s="123"/>
      <c r="G526" s="123"/>
      <c r="H526" s="123"/>
      <c r="I526" s="123"/>
      <c r="J526" s="149">
        <v>6191.92</v>
      </c>
      <c r="K526" s="148">
        <f>J526*(1+K522)</f>
        <v>7441.5996030527749</v>
      </c>
      <c r="L526" s="148">
        <f>K526*(1+L522)</f>
        <v>8483.1476776459531</v>
      </c>
      <c r="M526" s="148">
        <f>L526*(1+M522)</f>
        <v>9619.0258825833425</v>
      </c>
      <c r="N526" s="148">
        <f>M526*(1+N522)</f>
        <v>10846.256302366359</v>
      </c>
      <c r="O526" s="148">
        <f>N526*(1+O522)</f>
        <v>12124.958903384249</v>
      </c>
    </row>
    <row r="527" spans="1:15" hidden="1" outlineLevel="1" x14ac:dyDescent="0.25">
      <c r="A527" s="71"/>
      <c r="B527" s="71"/>
      <c r="C527" s="71" t="s">
        <v>364</v>
      </c>
      <c r="D527" s="71"/>
      <c r="E527" s="71"/>
      <c r="F527" s="123"/>
      <c r="G527" s="123"/>
      <c r="H527" s="123"/>
      <c r="I527" s="123"/>
      <c r="J527" s="123"/>
      <c r="K527" s="148">
        <f>K526-J526</f>
        <v>1249.6796030527748</v>
      </c>
      <c r="L527" s="148">
        <f>L526-K526</f>
        <v>1041.5480745931782</v>
      </c>
      <c r="M527" s="148">
        <f>M526-L526</f>
        <v>1135.8782049373895</v>
      </c>
      <c r="N527" s="148">
        <f>N526-M526</f>
        <v>1227.2304197830163</v>
      </c>
      <c r="O527" s="148">
        <f>O526-N526</f>
        <v>1278.7026010178906</v>
      </c>
    </row>
    <row r="528" spans="1:15" hidden="1" outlineLevel="1" x14ac:dyDescent="0.25">
      <c r="A528" s="71"/>
      <c r="B528" s="71"/>
      <c r="C528" s="71"/>
      <c r="D528" s="71"/>
      <c r="E528" s="71"/>
      <c r="F528" s="123"/>
      <c r="G528" s="123"/>
      <c r="H528" s="123"/>
      <c r="I528" s="123"/>
      <c r="J528" s="123"/>
      <c r="K528" s="148"/>
      <c r="L528" s="148"/>
      <c r="M528" s="148"/>
      <c r="N528" s="148"/>
      <c r="O528" s="148"/>
    </row>
    <row r="529" spans="1:15" hidden="1" outlineLevel="1" x14ac:dyDescent="0.25">
      <c r="A529" s="71"/>
      <c r="B529" s="71"/>
      <c r="C529" s="71"/>
      <c r="D529" s="71"/>
      <c r="E529" s="71"/>
      <c r="F529" s="123"/>
      <c r="G529" s="123"/>
      <c r="H529" s="123"/>
      <c r="I529" s="123"/>
      <c r="J529" s="123"/>
      <c r="K529" s="160"/>
      <c r="L529" s="160"/>
      <c r="M529" s="160"/>
      <c r="N529" s="160"/>
      <c r="O529" s="160"/>
    </row>
    <row r="530" spans="1:15" collapsed="1" x14ac:dyDescent="0.25">
      <c r="A530" s="71"/>
      <c r="B530" s="71"/>
      <c r="C530" s="71"/>
      <c r="D530" s="71"/>
      <c r="E530" s="71"/>
      <c r="F530" s="123"/>
      <c r="G530" s="123"/>
      <c r="H530" s="123"/>
      <c r="I530" s="123"/>
      <c r="J530" s="123"/>
      <c r="K530" s="160"/>
      <c r="L530" s="160"/>
      <c r="M530" s="160"/>
      <c r="N530" s="160"/>
      <c r="O530" s="160"/>
    </row>
    <row r="531" spans="1:15" ht="25.5" x14ac:dyDescent="0.35">
      <c r="A531" s="142" t="s">
        <v>374</v>
      </c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5"/>
    </row>
    <row r="532" spans="1:15" hidden="1" outlineLevel="1" x14ac:dyDescent="0.25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</row>
    <row r="533" spans="1:15" hidden="1" outlineLevel="1" x14ac:dyDescent="0.25">
      <c r="A533" s="144" t="s">
        <v>155</v>
      </c>
      <c r="B533" s="86"/>
      <c r="C533" s="86"/>
      <c r="D533" s="86"/>
      <c r="E533" s="86"/>
      <c r="F533" s="145">
        <f>G533-1</f>
        <v>2021</v>
      </c>
      <c r="G533" s="145">
        <f>H533-1</f>
        <v>2022</v>
      </c>
      <c r="H533" s="145">
        <f>I533-1</f>
        <v>2023</v>
      </c>
      <c r="I533" s="145">
        <f>J533-1</f>
        <v>2024</v>
      </c>
      <c r="J533" s="145">
        <f>K533-1</f>
        <v>2025</v>
      </c>
      <c r="K533" s="146">
        <f>K$82</f>
        <v>2026</v>
      </c>
      <c r="L533" s="146">
        <f>L$82</f>
        <v>2027</v>
      </c>
      <c r="M533" s="146">
        <f>M$82</f>
        <v>2028</v>
      </c>
      <c r="N533" s="146">
        <f>N$82</f>
        <v>2029</v>
      </c>
      <c r="O533" s="146">
        <f>O$82</f>
        <v>2030</v>
      </c>
    </row>
    <row r="534" spans="1:15" hidden="1" outlineLevel="1" x14ac:dyDescent="0.25">
      <c r="A534" s="71"/>
      <c r="B534" s="71"/>
      <c r="C534" s="71"/>
      <c r="D534" s="71"/>
      <c r="E534" s="71"/>
      <c r="F534" s="123"/>
      <c r="G534" s="123"/>
      <c r="H534" s="123"/>
      <c r="I534" s="123"/>
      <c r="J534" s="123"/>
      <c r="K534" s="148"/>
      <c r="L534" s="148"/>
      <c r="M534" s="148"/>
      <c r="N534" s="148"/>
      <c r="O534" s="148"/>
    </row>
    <row r="535" spans="1:15" hidden="1" outlineLevel="1" x14ac:dyDescent="0.25">
      <c r="A535" s="71"/>
      <c r="B535" s="71"/>
      <c r="C535" s="71"/>
      <c r="D535" s="71"/>
      <c r="E535" s="71"/>
      <c r="F535" s="123"/>
      <c r="G535" s="123"/>
      <c r="H535" s="123"/>
      <c r="I535" s="123"/>
      <c r="J535" s="123"/>
      <c r="K535" s="148"/>
      <c r="L535" s="148"/>
      <c r="M535" s="148"/>
      <c r="N535" s="148"/>
      <c r="O535" s="148"/>
    </row>
    <row r="536" spans="1:15" hidden="1" outlineLevel="1" x14ac:dyDescent="0.25">
      <c r="A536" s="71"/>
      <c r="B536" s="71"/>
      <c r="C536" s="71"/>
      <c r="D536" s="71"/>
      <c r="E536" s="71"/>
      <c r="F536" s="123"/>
      <c r="G536" s="123"/>
      <c r="H536" s="123"/>
      <c r="I536" s="123"/>
      <c r="J536" s="123"/>
      <c r="K536" s="148"/>
      <c r="L536" s="148"/>
      <c r="M536" s="148"/>
      <c r="N536" s="148"/>
      <c r="O536" s="148"/>
    </row>
    <row r="537" spans="1:15" hidden="1" outlineLevel="1" x14ac:dyDescent="0.25">
      <c r="A537" s="71"/>
      <c r="B537" s="71"/>
      <c r="C537" s="71"/>
      <c r="D537" s="71"/>
      <c r="E537" s="71"/>
      <c r="F537" s="123"/>
      <c r="G537" s="123"/>
      <c r="H537" s="123"/>
      <c r="I537" s="123"/>
      <c r="J537" s="123"/>
      <c r="K537" s="148"/>
      <c r="L537" s="148"/>
      <c r="M537" s="148"/>
      <c r="N537" s="148"/>
      <c r="O537" s="148"/>
    </row>
    <row r="538" spans="1:15" hidden="1" outlineLevel="1" x14ac:dyDescent="0.25">
      <c r="A538" s="71"/>
      <c r="B538" s="71"/>
      <c r="C538" s="71"/>
      <c r="D538" s="71"/>
      <c r="E538" s="71"/>
      <c r="F538" s="123"/>
      <c r="G538" s="123"/>
      <c r="H538" s="123"/>
      <c r="I538" s="123"/>
      <c r="J538" s="123"/>
      <c r="K538" s="148"/>
      <c r="L538" s="148"/>
      <c r="M538" s="148"/>
      <c r="N538" s="148"/>
      <c r="O538" s="148"/>
    </row>
    <row r="539" spans="1:15" hidden="1" outlineLevel="1" x14ac:dyDescent="0.25">
      <c r="A539" s="71"/>
      <c r="B539" s="72" t="s">
        <v>365</v>
      </c>
      <c r="C539" s="71"/>
      <c r="D539" s="71"/>
      <c r="E539" s="71"/>
      <c r="F539" s="123"/>
      <c r="G539" s="123"/>
      <c r="H539" s="123"/>
      <c r="I539" s="123"/>
      <c r="J539" s="123"/>
      <c r="K539" s="148"/>
      <c r="L539" s="148"/>
      <c r="M539" s="148"/>
      <c r="N539" s="148"/>
      <c r="O539" s="148"/>
    </row>
    <row r="540" spans="1:15" hidden="1" outlineLevel="1" x14ac:dyDescent="0.25">
      <c r="A540" s="71"/>
      <c r="B540" s="71"/>
      <c r="C540" s="71" t="s">
        <v>366</v>
      </c>
      <c r="D540" s="71" t="s">
        <v>22</v>
      </c>
      <c r="E540" s="71"/>
      <c r="F540" s="216">
        <f>F111</f>
        <v>3246825</v>
      </c>
      <c r="G540" s="216">
        <f>G111</f>
        <v>3246825</v>
      </c>
      <c r="H540" s="216">
        <f>H111</f>
        <v>3246875</v>
      </c>
      <c r="I540" s="216">
        <f>I111</f>
        <v>3278350</v>
      </c>
      <c r="J540" s="216">
        <f>J111</f>
        <v>3381750</v>
      </c>
      <c r="K540" s="159">
        <f>J540</f>
        <v>3381750</v>
      </c>
      <c r="L540" s="159">
        <f>K540</f>
        <v>3381750</v>
      </c>
      <c r="M540" s="159">
        <f>L540</f>
        <v>3381750</v>
      </c>
      <c r="N540" s="159">
        <f>M540</f>
        <v>3381750</v>
      </c>
      <c r="O540" s="159">
        <f>N540</f>
        <v>3381750</v>
      </c>
    </row>
    <row r="541" spans="1:15" hidden="1" outlineLevel="1" x14ac:dyDescent="0.25">
      <c r="A541" s="71"/>
      <c r="B541" s="71"/>
      <c r="C541" s="71" t="s">
        <v>348</v>
      </c>
      <c r="D541" s="71"/>
      <c r="E541" s="71"/>
      <c r="F541" s="216"/>
      <c r="G541" s="184">
        <f>G540/F540-1</f>
        <v>0</v>
      </c>
      <c r="H541" s="184">
        <f>H540/G540-1</f>
        <v>1.539965966745882E-5</v>
      </c>
      <c r="I541" s="184">
        <f>I540/H540-1</f>
        <v>9.6939364773820369E-3</v>
      </c>
      <c r="J541" s="184">
        <f>J540/I540-1</f>
        <v>3.1540256531486843E-2</v>
      </c>
      <c r="K541" s="148"/>
      <c r="L541" s="148"/>
      <c r="M541" s="148"/>
      <c r="N541" s="148"/>
      <c r="O541" s="148"/>
    </row>
    <row r="542" spans="1:15" hidden="1" outlineLevel="1" x14ac:dyDescent="0.25">
      <c r="A542" s="71"/>
      <c r="B542" s="71"/>
      <c r="C542" s="71" t="s">
        <v>373</v>
      </c>
      <c r="D542" s="71"/>
      <c r="E542" s="71"/>
      <c r="F542" s="216"/>
      <c r="G542" s="184"/>
      <c r="H542" s="184"/>
      <c r="I542" s="184"/>
      <c r="J542" s="184">
        <f>AVERAGE(G541:J541)</f>
        <v>1.0312398167134085E-2</v>
      </c>
      <c r="K542" s="148"/>
      <c r="L542" s="148"/>
      <c r="M542" s="148"/>
      <c r="N542" s="148"/>
      <c r="O542" s="148"/>
    </row>
    <row r="543" spans="1:15" hidden="1" outlineLevel="1" x14ac:dyDescent="0.25">
      <c r="A543" s="71"/>
      <c r="B543" s="71"/>
      <c r="C543" s="71" t="s">
        <v>367</v>
      </c>
      <c r="D543" s="71" t="s">
        <v>22</v>
      </c>
      <c r="E543" s="71"/>
      <c r="F543" s="216">
        <f>F112</f>
        <v>3248500</v>
      </c>
      <c r="G543" s="216">
        <f>G112</f>
        <v>3248750</v>
      </c>
      <c r="H543" s="216">
        <f>H112</f>
        <v>3248928</v>
      </c>
      <c r="I543" s="216">
        <f>I112</f>
        <v>3280500</v>
      </c>
      <c r="J543" s="216">
        <f>J112</f>
        <v>3383500</v>
      </c>
      <c r="K543" s="159">
        <f>J543</f>
        <v>3383500</v>
      </c>
      <c r="L543" s="159">
        <f>K543</f>
        <v>3383500</v>
      </c>
      <c r="M543" s="159">
        <f>L543</f>
        <v>3383500</v>
      </c>
      <c r="N543" s="159">
        <f>M543</f>
        <v>3383500</v>
      </c>
      <c r="O543" s="159">
        <f>N543</f>
        <v>3383500</v>
      </c>
    </row>
    <row r="544" spans="1:15" hidden="1" outlineLevel="1" x14ac:dyDescent="0.25">
      <c r="A544" s="71"/>
      <c r="B544" s="71"/>
      <c r="C544" s="71" t="s">
        <v>348</v>
      </c>
      <c r="D544" s="71"/>
      <c r="E544" s="71"/>
      <c r="F544" s="123"/>
      <c r="G544" s="184">
        <f>G543/F543-1</f>
        <v>7.6958596275211733E-5</v>
      </c>
      <c r="H544" s="184">
        <f>H543/G543-1</f>
        <v>5.4790303963159204E-5</v>
      </c>
      <c r="I544" s="184">
        <f>I543/H543-1</f>
        <v>9.7176668735041716E-3</v>
      </c>
      <c r="J544" s="184">
        <f>J543/I543-1</f>
        <v>3.1397652796829822E-2</v>
      </c>
      <c r="K544" s="148"/>
      <c r="L544" s="148"/>
      <c r="M544" s="148"/>
      <c r="N544" s="148"/>
      <c r="O544" s="148"/>
    </row>
    <row r="545" spans="1:15" hidden="1" outlineLevel="1" x14ac:dyDescent="0.25">
      <c r="A545" s="71"/>
      <c r="B545" s="71"/>
      <c r="C545" s="71" t="s">
        <v>373</v>
      </c>
      <c r="D545" s="71"/>
      <c r="E545" s="71"/>
      <c r="F545" s="123"/>
      <c r="G545" s="184"/>
      <c r="H545" s="184"/>
      <c r="I545" s="184"/>
      <c r="J545" s="184">
        <f>AVERAGE(G544:J544)</f>
        <v>1.0311767142643091E-2</v>
      </c>
      <c r="K545" s="148"/>
      <c r="L545" s="148"/>
      <c r="M545" s="148"/>
      <c r="N545" s="148"/>
      <c r="O545" s="148"/>
    </row>
    <row r="546" spans="1:15" hidden="1" outlineLevel="1" x14ac:dyDescent="0.25">
      <c r="A546" s="71"/>
      <c r="B546" s="71"/>
      <c r="C546" s="71"/>
      <c r="D546" s="71"/>
      <c r="E546" s="71"/>
      <c r="F546" s="123"/>
      <c r="G546" s="123"/>
      <c r="H546" s="123"/>
      <c r="I546" s="123"/>
      <c r="J546" s="123"/>
      <c r="K546" s="148"/>
      <c r="L546" s="148"/>
      <c r="M546" s="148"/>
      <c r="N546" s="148"/>
      <c r="O546" s="148"/>
    </row>
    <row r="547" spans="1:15" hidden="1" outlineLevel="1" x14ac:dyDescent="0.25">
      <c r="A547" s="71"/>
      <c r="B547" s="71"/>
      <c r="C547" s="71" t="s">
        <v>368</v>
      </c>
      <c r="D547" s="71"/>
      <c r="E547" s="71"/>
      <c r="F547" s="123">
        <f>-F160</f>
        <v>1082.58</v>
      </c>
      <c r="G547" s="123">
        <f>-G160</f>
        <v>1623.87</v>
      </c>
      <c r="H547" s="123">
        <f>-H160</f>
        <v>2273.48</v>
      </c>
      <c r="I547" s="123">
        <f>-I160</f>
        <v>3248.2</v>
      </c>
      <c r="J547" s="123">
        <f>-J160</f>
        <v>5072.54</v>
      </c>
      <c r="K547" s="148"/>
      <c r="L547" s="148"/>
      <c r="M547" s="148"/>
      <c r="N547" s="148"/>
      <c r="O547" s="148"/>
    </row>
    <row r="548" spans="1:15" hidden="1" outlineLevel="1" x14ac:dyDescent="0.25">
      <c r="A548" s="71"/>
      <c r="B548" s="71"/>
      <c r="C548" s="71" t="s">
        <v>369</v>
      </c>
      <c r="D548" s="71"/>
      <c r="E548" s="71"/>
      <c r="F548" s="123">
        <f t="shared" ref="F548:O548" si="53">F108</f>
        <v>6940.5200000000023</v>
      </c>
      <c r="G548" s="123">
        <f t="shared" si="53"/>
        <v>14947.329999999964</v>
      </c>
      <c r="H548" s="123">
        <f t="shared" si="53"/>
        <v>20559.219999999983</v>
      </c>
      <c r="I548" s="123">
        <f t="shared" si="53"/>
        <v>25946.329999999984</v>
      </c>
      <c r="J548" s="123">
        <f t="shared" si="53"/>
        <v>30364.890000000036</v>
      </c>
      <c r="K548" s="148">
        <f t="shared" ca="1" si="53"/>
        <v>29922.206314755924</v>
      </c>
      <c r="L548" s="148">
        <f t="shared" ca="1" si="53"/>
        <v>35560.812302166953</v>
      </c>
      <c r="M548" s="148">
        <f t="shared" ca="1" si="53"/>
        <v>42327.976686653783</v>
      </c>
      <c r="N548" s="148">
        <f t="shared" ca="1" si="53"/>
        <v>49789.705863784155</v>
      </c>
      <c r="O548" s="148">
        <f t="shared" ca="1" si="53"/>
        <v>57738.235258932385</v>
      </c>
    </row>
    <row r="549" spans="1:15" hidden="1" outlineLevel="1" x14ac:dyDescent="0.25">
      <c r="A549" s="71"/>
      <c r="B549" s="71"/>
      <c r="C549" s="71" t="s">
        <v>370</v>
      </c>
      <c r="D549" s="71"/>
      <c r="E549" s="71"/>
      <c r="F549" s="184">
        <f>F547/F548</f>
        <v>0.15597966722954471</v>
      </c>
      <c r="G549" s="184">
        <f>G547/G548</f>
        <v>0.10863946939018566</v>
      </c>
      <c r="H549" s="184">
        <f>H547/H548</f>
        <v>0.11058201624380701</v>
      </c>
      <c r="I549" s="184">
        <f>I547/I548</f>
        <v>0.12518918860586456</v>
      </c>
      <c r="J549" s="184">
        <f>J547/J548</f>
        <v>0.167052803418685</v>
      </c>
      <c r="K549" s="189"/>
      <c r="L549" s="189"/>
      <c r="M549" s="189"/>
      <c r="N549" s="189"/>
      <c r="O549" s="189"/>
    </row>
    <row r="550" spans="1:15" hidden="1" outlineLevel="1" x14ac:dyDescent="0.25">
      <c r="A550" s="71"/>
      <c r="B550" s="71"/>
      <c r="C550" s="71" t="s">
        <v>371</v>
      </c>
      <c r="D550" s="71"/>
      <c r="E550" s="71"/>
      <c r="F550" s="123"/>
      <c r="G550" s="123"/>
      <c r="H550" s="123"/>
      <c r="I550" s="123"/>
      <c r="J550" s="190">
        <f>AVERAGE(F549:J549)</f>
        <v>0.1334886289776174</v>
      </c>
      <c r="K550" s="148"/>
      <c r="L550" s="148"/>
      <c r="M550" s="148"/>
      <c r="N550" s="148"/>
      <c r="O550" s="148"/>
    </row>
    <row r="551" spans="1:15" hidden="1" outlineLevel="1" x14ac:dyDescent="0.25">
      <c r="A551" s="71"/>
      <c r="B551" s="71"/>
      <c r="C551" s="71"/>
      <c r="D551" s="71"/>
      <c r="E551" s="71"/>
      <c r="F551" s="123"/>
      <c r="G551" s="123"/>
      <c r="H551" s="123"/>
      <c r="I551" s="123"/>
      <c r="J551" s="123"/>
      <c r="K551" s="148"/>
      <c r="L551" s="148"/>
      <c r="M551" s="148"/>
      <c r="N551" s="148"/>
      <c r="O551" s="148"/>
    </row>
    <row r="552" spans="1:15" hidden="1" outlineLevel="1" x14ac:dyDescent="0.25">
      <c r="A552" s="71"/>
      <c r="B552" s="71"/>
      <c r="C552" s="72" t="s">
        <v>372</v>
      </c>
      <c r="D552" s="71"/>
      <c r="E552" s="71"/>
      <c r="F552" s="123"/>
      <c r="G552" s="123"/>
      <c r="H552" s="123"/>
      <c r="I552" s="123"/>
      <c r="J552" s="123"/>
      <c r="K552" s="148">
        <f ca="1">K548*$J$550</f>
        <v>3994.2742969421738</v>
      </c>
      <c r="L552" s="148">
        <f ca="1">L548*$J$550</f>
        <v>4746.9640795466566</v>
      </c>
      <c r="M552" s="148">
        <f ca="1">M548*$J$550</f>
        <v>5650.3035752979658</v>
      </c>
      <c r="N552" s="148">
        <f ca="1">N548*$J$550</f>
        <v>6646.3595729553845</v>
      </c>
      <c r="O552" s="148">
        <f ca="1">O548*$J$550</f>
        <v>7707.3978643020127</v>
      </c>
    </row>
    <row r="553" spans="1:15" hidden="1" outlineLevel="1" x14ac:dyDescent="0.25">
      <c r="A553" s="71"/>
      <c r="B553" s="71"/>
      <c r="C553" s="71"/>
      <c r="D553" s="71"/>
      <c r="E553" s="71"/>
      <c r="F553" s="123"/>
      <c r="G553" s="123"/>
      <c r="H553" s="123"/>
      <c r="I553" s="123"/>
      <c r="J553" s="123"/>
      <c r="K553" s="148"/>
      <c r="L553" s="148"/>
      <c r="M553" s="148"/>
      <c r="N553" s="148"/>
      <c r="O553" s="148"/>
    </row>
    <row r="554" spans="1:15" hidden="1" outlineLevel="1" x14ac:dyDescent="0.25">
      <c r="A554" s="71"/>
      <c r="B554" s="71"/>
      <c r="C554" s="71" t="s">
        <v>375</v>
      </c>
      <c r="D554" s="71"/>
      <c r="E554" s="71"/>
      <c r="F554" s="123"/>
      <c r="G554" s="123"/>
      <c r="H554" s="123"/>
      <c r="I554" s="123"/>
      <c r="J554" s="123">
        <f>J196</f>
        <v>189023.06</v>
      </c>
      <c r="K554" s="148">
        <f ca="1">J554+K108-K552</f>
        <v>214950.99201781375</v>
      </c>
      <c r="L554" s="148">
        <f ca="1">K554+L108-L552</f>
        <v>245764.84024043404</v>
      </c>
      <c r="M554" s="148">
        <f ca="1">L554+M108-M552</f>
        <v>282442.51335178985</v>
      </c>
      <c r="N554" s="148">
        <f ca="1">M554+N108-N552</f>
        <v>325585.85964261857</v>
      </c>
      <c r="O554" s="148">
        <f ca="1">N554+O108-O552</f>
        <v>375616.69703724893</v>
      </c>
    </row>
    <row r="555" spans="1:15" hidden="1" outlineLevel="1" x14ac:dyDescent="0.25">
      <c r="A555" s="71"/>
      <c r="B555" s="71"/>
      <c r="C555" s="71"/>
      <c r="D555" s="71"/>
      <c r="E555" s="71"/>
      <c r="F555" s="123"/>
      <c r="G555" s="123"/>
      <c r="H555" s="123"/>
      <c r="I555" s="123"/>
      <c r="J555" s="123"/>
      <c r="K555" s="148"/>
      <c r="L555" s="148"/>
      <c r="M555" s="148"/>
      <c r="N555" s="148"/>
      <c r="O555" s="148"/>
    </row>
    <row r="556" spans="1:15" hidden="1" outlineLevel="1" x14ac:dyDescent="0.25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147"/>
      <c r="L556" s="147"/>
      <c r="M556" s="147"/>
      <c r="N556" s="147"/>
      <c r="O556" s="147"/>
    </row>
    <row r="557" spans="1:15" collapsed="1" x14ac:dyDescent="0.25">
      <c r="B557" s="56"/>
      <c r="C557" s="56"/>
      <c r="D557" s="56"/>
      <c r="E557" s="56"/>
      <c r="F557" s="56"/>
      <c r="G557" s="56"/>
      <c r="H557" s="56"/>
      <c r="I557" s="56"/>
      <c r="J557" s="56"/>
      <c r="K557" s="67"/>
      <c r="L557" s="67"/>
      <c r="M557" s="67"/>
      <c r="N557" s="67"/>
      <c r="O557" s="67"/>
    </row>
    <row r="558" spans="1:15" ht="25.5" x14ac:dyDescent="0.35">
      <c r="A558" s="142" t="s">
        <v>380</v>
      </c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5"/>
    </row>
    <row r="559" spans="1:15" x14ac:dyDescent="0.25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</row>
    <row r="560" spans="1:15" x14ac:dyDescent="0.25">
      <c r="A560" s="144" t="s">
        <v>155</v>
      </c>
      <c r="B560" s="86"/>
      <c r="C560" s="86"/>
      <c r="D560" s="86"/>
      <c r="E560" s="86"/>
      <c r="F560" s="145">
        <f>G560-1</f>
        <v>2021</v>
      </c>
      <c r="G560" s="145">
        <f>H560-1</f>
        <v>2022</v>
      </c>
      <c r="H560" s="145">
        <f>I560-1</f>
        <v>2023</v>
      </c>
      <c r="I560" s="145">
        <f>J560-1</f>
        <v>2024</v>
      </c>
      <c r="J560" s="145">
        <f>K560-1</f>
        <v>2025</v>
      </c>
      <c r="K560" s="146">
        <f>K$82</f>
        <v>2026</v>
      </c>
      <c r="L560" s="146">
        <f>L$82</f>
        <v>2027</v>
      </c>
      <c r="M560" s="146">
        <f>M$82</f>
        <v>2028</v>
      </c>
      <c r="N560" s="146">
        <f>N$82</f>
        <v>2029</v>
      </c>
      <c r="O560" s="146">
        <f>O$82</f>
        <v>2030</v>
      </c>
    </row>
    <row r="561" spans="1:15" x14ac:dyDescent="0.25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147"/>
      <c r="L561" s="147"/>
      <c r="M561" s="147"/>
      <c r="N561" s="147"/>
      <c r="O561" s="147"/>
    </row>
    <row r="562" spans="1:15" x14ac:dyDescent="0.25">
      <c r="A562" s="71"/>
      <c r="B562" s="71"/>
      <c r="C562" s="71" t="s">
        <v>381</v>
      </c>
      <c r="D562" s="71"/>
      <c r="E562" s="71"/>
      <c r="F562" s="184">
        <f>1-(F91+F92+F93)/F87</f>
        <v>0.54272301640102327</v>
      </c>
      <c r="G562" s="184">
        <f t="shared" ref="G562:O562" si="54">1-(G91+G92+G93)/G87</f>
        <v>0.52470291446034656</v>
      </c>
      <c r="H562" s="184">
        <f t="shared" si="54"/>
        <v>0.53842290090353906</v>
      </c>
      <c r="I562" s="184">
        <f t="shared" si="54"/>
        <v>0.55493403773056804</v>
      </c>
      <c r="J562" s="184">
        <f t="shared" si="54"/>
        <v>0.5519825131947198</v>
      </c>
      <c r="K562" s="189">
        <f t="shared" si="54"/>
        <v>0.53334472109540354</v>
      </c>
      <c r="L562" s="189">
        <f t="shared" si="54"/>
        <v>0.53334472109540354</v>
      </c>
      <c r="M562" s="189">
        <f t="shared" si="54"/>
        <v>0.53334472109540354</v>
      </c>
      <c r="N562" s="189">
        <f t="shared" si="54"/>
        <v>0.53334472109540365</v>
      </c>
      <c r="O562" s="189">
        <f t="shared" si="54"/>
        <v>0.53334472109540365</v>
      </c>
    </row>
    <row r="563" spans="1:15" x14ac:dyDescent="0.25">
      <c r="A563" s="71"/>
      <c r="B563" s="71"/>
      <c r="C563" s="71" t="s">
        <v>382</v>
      </c>
      <c r="D563" s="71"/>
      <c r="E563" s="71"/>
      <c r="F563" s="184">
        <f>F100/F87</f>
        <v>0.18753279694624306</v>
      </c>
      <c r="G563" s="184">
        <f t="shared" ref="G563:O563" si="55">G100/G87</f>
        <v>0.21165072083789863</v>
      </c>
      <c r="H563" s="184">
        <f t="shared" si="55"/>
        <v>0.22499403306737228</v>
      </c>
      <c r="I563" s="184">
        <f t="shared" si="55"/>
        <v>0.23546348521690449</v>
      </c>
      <c r="J563" s="184">
        <f t="shared" si="55"/>
        <v>0.23284670284065598</v>
      </c>
      <c r="K563" s="189">
        <f t="shared" ca="1" si="55"/>
        <v>0.20928919233917906</v>
      </c>
      <c r="L563" s="189">
        <f t="shared" ca="1" si="55"/>
        <v>0.20928919233917914</v>
      </c>
      <c r="M563" s="189">
        <f t="shared" ca="1" si="55"/>
        <v>0.209289192339179</v>
      </c>
      <c r="N563" s="189">
        <f t="shared" ca="1" si="55"/>
        <v>0.20928919233917911</v>
      </c>
      <c r="O563" s="189">
        <f t="shared" ca="1" si="55"/>
        <v>0.20928919233917903</v>
      </c>
    </row>
    <row r="564" spans="1:15" x14ac:dyDescent="0.25">
      <c r="A564" s="71"/>
      <c r="B564" s="71"/>
      <c r="C564" s="71" t="s">
        <v>404</v>
      </c>
      <c r="D564" s="71"/>
      <c r="E564" s="71"/>
      <c r="F564" s="184">
        <f>(F102+F95)/F87</f>
        <v>0.13501948832797062</v>
      </c>
      <c r="G564" s="184">
        <f t="shared" ref="G564:O564" si="56">(G102+G95)/G87</f>
        <v>0.16774775524320598</v>
      </c>
      <c r="H564" s="184">
        <f t="shared" si="56"/>
        <v>0.1874971365268468</v>
      </c>
      <c r="I564" s="184">
        <f t="shared" si="56"/>
        <v>0.1941733786826538</v>
      </c>
      <c r="J564" s="184">
        <f t="shared" si="56"/>
        <v>0.19299888648476021</v>
      </c>
      <c r="K564" s="189">
        <f t="shared" ca="1" si="56"/>
        <v>0.15577133157822109</v>
      </c>
      <c r="L564" s="189">
        <f t="shared" ca="1" si="56"/>
        <v>0.1588008272636815</v>
      </c>
      <c r="M564" s="189">
        <f t="shared" ca="1" si="56"/>
        <v>0.16595560037146104</v>
      </c>
      <c r="N564" s="189">
        <f t="shared" ca="1" si="56"/>
        <v>0.17260054261363414</v>
      </c>
      <c r="O564" s="189">
        <f t="shared" ca="1" si="56"/>
        <v>0.1787360462139376</v>
      </c>
    </row>
    <row r="565" spans="1:15" x14ac:dyDescent="0.25">
      <c r="A565" s="71"/>
      <c r="B565" s="71"/>
      <c r="C565" s="71" t="s">
        <v>383</v>
      </c>
      <c r="D565" s="71"/>
      <c r="E565" s="71"/>
      <c r="F565" s="184">
        <f>F108/F87</f>
        <v>7.8661895927001818E-2</v>
      </c>
      <c r="G565" s="184">
        <f t="shared" ref="G565:O565" si="57">G108/G87</f>
        <v>0.11346822193217052</v>
      </c>
      <c r="H565" s="184">
        <f t="shared" si="57"/>
        <v>0.1281540669796212</v>
      </c>
      <c r="I565" s="184">
        <f t="shared" si="57"/>
        <v>0.12968204661716884</v>
      </c>
      <c r="J565" s="184">
        <f t="shared" si="57"/>
        <v>0.14002471434785638</v>
      </c>
      <c r="K565" s="189">
        <f t="shared" ca="1" si="57"/>
        <v>0.11481156421011507</v>
      </c>
      <c r="L565" s="189">
        <f t="shared" ca="1" si="57"/>
        <v>0.11969416108946845</v>
      </c>
      <c r="M565" s="189">
        <f t="shared" ca="1" si="57"/>
        <v>0.12564775572655376</v>
      </c>
      <c r="N565" s="189">
        <f t="shared" ca="1" si="57"/>
        <v>0.13107444202728458</v>
      </c>
      <c r="O565" s="189">
        <f t="shared" ca="1" si="57"/>
        <v>0.13596951557462059</v>
      </c>
    </row>
    <row r="566" spans="1:15" x14ac:dyDescent="0.25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147"/>
      <c r="L566" s="147"/>
      <c r="M566" s="147"/>
      <c r="N566" s="147"/>
      <c r="O566" s="147"/>
    </row>
    <row r="567" spans="1:15" x14ac:dyDescent="0.25">
      <c r="A567" s="71"/>
      <c r="B567" s="72" t="s">
        <v>384</v>
      </c>
      <c r="C567" s="71"/>
      <c r="D567" s="71"/>
      <c r="E567" s="71"/>
      <c r="F567" s="71"/>
      <c r="G567" s="71"/>
      <c r="H567" s="71"/>
      <c r="I567" s="71"/>
      <c r="J567" s="71"/>
      <c r="K567" s="147"/>
      <c r="L567" s="147"/>
      <c r="M567" s="147"/>
      <c r="N567" s="147"/>
      <c r="O567" s="147"/>
    </row>
    <row r="568" spans="1:15" x14ac:dyDescent="0.25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147"/>
      <c r="L568" s="147"/>
      <c r="M568" s="147"/>
      <c r="N568" s="147"/>
      <c r="O568" s="147"/>
    </row>
    <row r="569" spans="1:15" x14ac:dyDescent="0.25">
      <c r="A569" s="71"/>
      <c r="B569" s="71"/>
      <c r="C569" s="71" t="s">
        <v>385</v>
      </c>
      <c r="D569" s="71"/>
      <c r="E569" s="71"/>
      <c r="F569" s="71"/>
      <c r="G569" s="71"/>
      <c r="H569" s="71"/>
      <c r="I569" s="71"/>
      <c r="J569" s="71"/>
      <c r="K569" s="181">
        <f ca="1">K143</f>
        <v>38126.79829780219</v>
      </c>
      <c r="L569" s="181">
        <f ca="1">L143</f>
        <v>45391.044246978592</v>
      </c>
      <c r="M569" s="181">
        <f ca="1">M143</f>
        <v>51113.384492693156</v>
      </c>
      <c r="N569" s="181">
        <f ca="1">N143</f>
        <v>57310.190373408826</v>
      </c>
      <c r="O569" s="181">
        <f ca="1">O143</f>
        <v>63962.695176238441</v>
      </c>
    </row>
    <row r="570" spans="1:15" x14ac:dyDescent="0.25">
      <c r="A570" s="71"/>
      <c r="B570" s="71"/>
      <c r="C570" s="71" t="s">
        <v>386</v>
      </c>
      <c r="D570" s="71"/>
      <c r="E570" s="71"/>
      <c r="F570" s="71"/>
      <c r="G570" s="71"/>
      <c r="H570" s="71"/>
      <c r="I570" s="71"/>
      <c r="J570" s="71"/>
      <c r="K570" s="181">
        <f>-(K147+K149)</f>
        <v>20177.6885</v>
      </c>
      <c r="L570" s="181">
        <f t="shared" ref="L570:O570" si="58">-(L147+L149)</f>
        <v>17464.389432916843</v>
      </c>
      <c r="M570" s="181">
        <f t="shared" si="58"/>
        <v>18648.277730534934</v>
      </c>
      <c r="N570" s="181">
        <f t="shared" si="58"/>
        <v>19904.385029766869</v>
      </c>
      <c r="O570" s="181">
        <f t="shared" si="58"/>
        <v>21272.690981684464</v>
      </c>
    </row>
    <row r="571" spans="1:15" x14ac:dyDescent="0.25">
      <c r="A571" s="71"/>
      <c r="B571" s="71"/>
      <c r="C571" s="71" t="s">
        <v>387</v>
      </c>
      <c r="D571" s="71"/>
      <c r="E571" s="71"/>
      <c r="F571" s="71"/>
      <c r="G571" s="71"/>
      <c r="H571" s="71"/>
      <c r="I571" s="71"/>
      <c r="J571" s="71"/>
      <c r="K571" s="181">
        <f>K155</f>
        <v>-2705.2615277207678</v>
      </c>
      <c r="L571" s="181">
        <f t="shared" ref="L571:O571" si="59">L155</f>
        <v>-2043.1229546912914</v>
      </c>
      <c r="M571" s="181">
        <f t="shared" si="59"/>
        <v>-1333.4134375879407</v>
      </c>
      <c r="N571" s="181">
        <f t="shared" si="59"/>
        <v>-993.12342000000012</v>
      </c>
      <c r="O571" s="181">
        <f t="shared" si="59"/>
        <v>-393.12342000000001</v>
      </c>
    </row>
    <row r="572" spans="1:15" x14ac:dyDescent="0.25">
      <c r="A572" s="139"/>
      <c r="B572" s="139"/>
      <c r="C572" s="139" t="s">
        <v>388</v>
      </c>
      <c r="D572" s="139"/>
      <c r="E572" s="139"/>
      <c r="F572" s="139"/>
      <c r="G572" s="139"/>
      <c r="H572" s="139"/>
      <c r="I572" s="139"/>
      <c r="J572" s="139"/>
      <c r="K572" s="182">
        <f ca="1">K569-K570+K571</f>
        <v>15243.848270081422</v>
      </c>
      <c r="L572" s="182">
        <f t="shared" ref="L572:O572" ca="1" si="60">L569-L570+L571</f>
        <v>25883.531859370458</v>
      </c>
      <c r="M572" s="182">
        <f t="shared" ca="1" si="60"/>
        <v>31131.693324570282</v>
      </c>
      <c r="N572" s="182">
        <f t="shared" ca="1" si="60"/>
        <v>36412.681923641954</v>
      </c>
      <c r="O572" s="182">
        <f t="shared" ca="1" si="60"/>
        <v>42296.880774553974</v>
      </c>
    </row>
    <row r="573" spans="1:15" x14ac:dyDescent="0.25">
      <c r="A573" s="71"/>
      <c r="B573" s="71"/>
      <c r="C573" s="71" t="s">
        <v>403</v>
      </c>
      <c r="D573" s="71"/>
      <c r="E573" s="71"/>
      <c r="F573" s="71"/>
      <c r="G573" s="71"/>
      <c r="H573" s="71"/>
      <c r="I573" s="71"/>
      <c r="J573" s="71"/>
      <c r="K573" s="147"/>
      <c r="L573" s="217">
        <f ca="1">L572/K572-1</f>
        <v>0.69796572366645626</v>
      </c>
      <c r="M573" s="217">
        <f t="shared" ref="M573:O573" ca="1" si="61">M572/L572-1</f>
        <v>0.20276063922473786</v>
      </c>
      <c r="N573" s="217">
        <f t="shared" ca="1" si="61"/>
        <v>0.16963383726074799</v>
      </c>
      <c r="O573" s="217">
        <f t="shared" ca="1" si="61"/>
        <v>0.1615975132853793</v>
      </c>
    </row>
    <row r="574" spans="1:15" x14ac:dyDescent="0.25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147"/>
      <c r="L574" s="147"/>
      <c r="M574" s="147"/>
      <c r="N574" s="147"/>
      <c r="O574" s="147"/>
    </row>
    <row r="575" spans="1:15" x14ac:dyDescent="0.25">
      <c r="A575" s="71"/>
      <c r="B575" s="71" t="s">
        <v>389</v>
      </c>
      <c r="C575" s="71"/>
      <c r="D575" s="71"/>
      <c r="E575" s="71"/>
      <c r="F575" s="71"/>
      <c r="G575" s="71"/>
      <c r="H575" s="71"/>
      <c r="I575" s="71"/>
      <c r="J575" s="71"/>
      <c r="K575" s="147"/>
      <c r="L575" s="147"/>
      <c r="M575" s="147"/>
      <c r="N575" s="147"/>
      <c r="O575" s="147"/>
    </row>
    <row r="576" spans="1:15" x14ac:dyDescent="0.25">
      <c r="A576" s="71"/>
      <c r="B576" s="71"/>
      <c r="C576" s="71" t="s">
        <v>390</v>
      </c>
      <c r="D576" s="71"/>
      <c r="E576" s="71"/>
      <c r="F576" s="71"/>
      <c r="G576" s="71"/>
      <c r="H576" s="71"/>
      <c r="I576" s="71"/>
      <c r="J576" s="122">
        <v>5.3019999999999998E-2</v>
      </c>
      <c r="K576" s="147"/>
      <c r="L576" s="147"/>
      <c r="M576" s="147"/>
      <c r="N576" s="147"/>
      <c r="O576" s="147"/>
    </row>
    <row r="577" spans="1:15" x14ac:dyDescent="0.25">
      <c r="A577" s="71"/>
      <c r="B577" s="71"/>
      <c r="C577" s="71" t="s">
        <v>391</v>
      </c>
      <c r="D577" s="71"/>
      <c r="E577" s="71"/>
      <c r="F577" s="71"/>
      <c r="G577" s="71"/>
      <c r="H577" s="71"/>
      <c r="I577" s="71"/>
      <c r="J577" s="122">
        <v>7.0800000000000002E-2</v>
      </c>
      <c r="K577" s="147"/>
      <c r="L577" s="147"/>
      <c r="M577" s="147"/>
      <c r="N577" s="147"/>
      <c r="O577" s="147"/>
    </row>
    <row r="578" spans="1:15" x14ac:dyDescent="0.25">
      <c r="A578" s="71"/>
      <c r="B578" s="71"/>
      <c r="C578" s="71" t="s">
        <v>392</v>
      </c>
      <c r="D578" s="71"/>
      <c r="E578" s="71"/>
      <c r="F578" s="71"/>
      <c r="G578" s="71"/>
      <c r="H578" s="71"/>
      <c r="I578" s="71"/>
      <c r="J578" s="71">
        <v>0.59850000000000003</v>
      </c>
      <c r="K578" s="147"/>
      <c r="L578" s="147"/>
      <c r="M578" s="147"/>
      <c r="N578" s="147"/>
      <c r="O578" s="147"/>
    </row>
    <row r="579" spans="1:15" x14ac:dyDescent="0.25">
      <c r="A579" s="139"/>
      <c r="B579" s="139" t="s">
        <v>389</v>
      </c>
      <c r="C579" s="139"/>
      <c r="D579" s="139"/>
      <c r="E579" s="139"/>
      <c r="F579" s="139"/>
      <c r="G579" s="139"/>
      <c r="H579" s="139"/>
      <c r="I579" s="139"/>
      <c r="J579" s="218">
        <f>J576+J578*J577</f>
        <v>9.5393800000000001E-2</v>
      </c>
      <c r="K579" s="147"/>
      <c r="L579" s="147"/>
      <c r="M579" s="147"/>
      <c r="N579" s="147"/>
      <c r="O579" s="147"/>
    </row>
    <row r="580" spans="1:15" x14ac:dyDescent="0.25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147"/>
      <c r="L580" s="147"/>
      <c r="M580" s="147"/>
      <c r="N580" s="147"/>
      <c r="O580" s="147"/>
    </row>
    <row r="581" spans="1:15" x14ac:dyDescent="0.25">
      <c r="A581" s="71"/>
      <c r="B581" s="71"/>
      <c r="C581" s="71" t="s">
        <v>393</v>
      </c>
      <c r="D581" s="71"/>
      <c r="E581" s="71"/>
      <c r="F581" s="71"/>
      <c r="G581" s="71"/>
      <c r="H581" s="71"/>
      <c r="I581" s="71"/>
      <c r="J581" s="183">
        <f ca="1">K572/(1+J579)</f>
        <v>13916.317830246457</v>
      </c>
      <c r="K581" s="147"/>
      <c r="L581" s="147"/>
      <c r="M581" s="147"/>
      <c r="N581" s="147"/>
      <c r="O581" s="147"/>
    </row>
    <row r="582" spans="1:15" x14ac:dyDescent="0.25">
      <c r="A582" s="71"/>
      <c r="B582" s="71"/>
      <c r="C582" s="71" t="s">
        <v>394</v>
      </c>
      <c r="D582" s="71"/>
      <c r="E582" s="71"/>
      <c r="F582" s="71"/>
      <c r="G582" s="71"/>
      <c r="H582" s="71"/>
      <c r="I582" s="71"/>
      <c r="J582" s="183">
        <f ca="1">L572/(1+J579)^2</f>
        <v>21571.630837610024</v>
      </c>
      <c r="K582" s="147"/>
      <c r="L582" s="147"/>
      <c r="M582" s="147"/>
      <c r="N582" s="147"/>
      <c r="O582" s="147"/>
    </row>
    <row r="583" spans="1:15" x14ac:dyDescent="0.25">
      <c r="A583" s="71"/>
      <c r="B583" s="71"/>
      <c r="C583" s="71" t="s">
        <v>395</v>
      </c>
      <c r="D583" s="71"/>
      <c r="E583" s="71"/>
      <c r="F583" s="71"/>
      <c r="G583" s="71"/>
      <c r="H583" s="71"/>
      <c r="I583" s="71"/>
      <c r="J583" s="183">
        <f ca="1">M572/(1+J579)^3</f>
        <v>23686.009995093915</v>
      </c>
      <c r="K583" s="147"/>
      <c r="L583" s="147"/>
      <c r="M583" s="147"/>
      <c r="N583" s="147"/>
      <c r="O583" s="147"/>
    </row>
    <row r="584" spans="1:15" x14ac:dyDescent="0.25">
      <c r="A584" s="71"/>
      <c r="B584" s="71"/>
      <c r="C584" s="71" t="s">
        <v>396</v>
      </c>
      <c r="D584" s="71"/>
      <c r="E584" s="71"/>
      <c r="F584" s="71"/>
      <c r="G584" s="71"/>
      <c r="H584" s="71"/>
      <c r="I584" s="71"/>
      <c r="J584" s="183">
        <f ca="1">N572/(1+J579)^4</f>
        <v>25291.323321309763</v>
      </c>
      <c r="K584" s="147"/>
      <c r="L584" s="147"/>
      <c r="M584" s="147"/>
      <c r="N584" s="147"/>
      <c r="O584" s="147"/>
    </row>
    <row r="585" spans="1:15" x14ac:dyDescent="0.25">
      <c r="A585" s="71"/>
      <c r="B585" s="71"/>
      <c r="C585" s="71" t="s">
        <v>397</v>
      </c>
      <c r="D585" s="71"/>
      <c r="E585" s="71"/>
      <c r="F585" s="71"/>
      <c r="G585" s="71"/>
      <c r="H585" s="71"/>
      <c r="I585" s="71"/>
      <c r="J585" s="183">
        <f ca="1">O572/(1+J579)^5</f>
        <v>26819.887311512935</v>
      </c>
      <c r="K585" s="147"/>
      <c r="L585" s="147"/>
      <c r="M585" s="147"/>
      <c r="N585" s="147"/>
      <c r="O585" s="147"/>
    </row>
    <row r="586" spans="1:15" x14ac:dyDescent="0.25">
      <c r="A586" s="71"/>
      <c r="B586" s="71"/>
      <c r="C586" s="71" t="s">
        <v>398</v>
      </c>
      <c r="D586" s="71"/>
      <c r="E586" s="71"/>
      <c r="F586" s="123"/>
      <c r="G586" s="123"/>
      <c r="H586" s="123"/>
      <c r="I586" s="123"/>
      <c r="J586" s="123">
        <f ca="1">(O572*(1+J576))/(J579-J576)</f>
        <v>1051108.5008477131</v>
      </c>
      <c r="K586" s="148"/>
      <c r="L586" s="148"/>
      <c r="M586" s="148"/>
      <c r="N586" s="148"/>
      <c r="O586" s="148"/>
    </row>
    <row r="587" spans="1:15" x14ac:dyDescent="0.25">
      <c r="A587" s="86"/>
      <c r="B587" s="86"/>
      <c r="C587" s="86" t="s">
        <v>399</v>
      </c>
      <c r="D587" s="86"/>
      <c r="E587" s="86"/>
      <c r="F587" s="129"/>
      <c r="G587" s="129"/>
      <c r="H587" s="129"/>
      <c r="I587" s="129"/>
      <c r="J587" s="129">
        <f ca="1">J586/(1+J579)^5</f>
        <v>666493.86500076344</v>
      </c>
      <c r="K587" s="152"/>
      <c r="L587" s="152"/>
      <c r="M587" s="152"/>
      <c r="N587" s="152"/>
      <c r="O587" s="152"/>
    </row>
    <row r="588" spans="1:15" x14ac:dyDescent="0.25">
      <c r="A588" s="71"/>
      <c r="B588" s="71"/>
      <c r="C588" s="71" t="s">
        <v>400</v>
      </c>
      <c r="D588" s="71"/>
      <c r="E588" s="71"/>
      <c r="F588" s="123"/>
      <c r="G588" s="123"/>
      <c r="H588" s="123"/>
      <c r="I588" s="123"/>
      <c r="J588" s="123">
        <f ca="1">J581+J582+J583+J584+J585+J587</f>
        <v>777779.03429653659</v>
      </c>
      <c r="K588" s="148"/>
      <c r="L588" s="148"/>
      <c r="M588" s="148"/>
      <c r="N588" s="148"/>
      <c r="O588" s="148"/>
    </row>
    <row r="589" spans="1:15" x14ac:dyDescent="0.25">
      <c r="A589" s="71"/>
      <c r="B589" s="71"/>
      <c r="C589" s="71" t="s">
        <v>401</v>
      </c>
      <c r="D589" s="71" t="s">
        <v>22</v>
      </c>
      <c r="E589" s="71"/>
      <c r="F589" s="123"/>
      <c r="G589" s="123"/>
      <c r="H589" s="123"/>
      <c r="I589" s="123"/>
      <c r="J589" s="219">
        <f>J112</f>
        <v>3383500</v>
      </c>
      <c r="K589" s="148"/>
      <c r="L589" s="148"/>
      <c r="M589" s="148"/>
      <c r="N589" s="148"/>
      <c r="O589" s="148"/>
    </row>
    <row r="590" spans="1:15" x14ac:dyDescent="0.25">
      <c r="A590" s="104"/>
      <c r="B590" s="155"/>
      <c r="C590" s="155" t="s">
        <v>402</v>
      </c>
      <c r="D590" s="155"/>
      <c r="E590" s="155"/>
      <c r="F590" s="220"/>
      <c r="G590" s="220"/>
      <c r="H590" s="220"/>
      <c r="I590" s="220"/>
      <c r="J590" s="221">
        <f ca="1">(J588/J589)*1000</f>
        <v>229.87410500858184</v>
      </c>
      <c r="K590" s="148"/>
      <c r="L590" s="148"/>
      <c r="M590" s="148"/>
      <c r="N590" s="148"/>
      <c r="O590" s="148"/>
    </row>
    <row r="591" spans="1:15" x14ac:dyDescent="0.25">
      <c r="B591" s="56"/>
      <c r="C591" s="56"/>
      <c r="D591" s="56"/>
      <c r="E591" s="56"/>
      <c r="F591" s="63"/>
      <c r="G591" s="63"/>
      <c r="H591" s="63"/>
      <c r="I591" s="63"/>
      <c r="J591" s="63"/>
      <c r="K591" s="63"/>
      <c r="L591" s="63"/>
      <c r="M591" s="63"/>
      <c r="N591" s="63"/>
      <c r="O591" s="63"/>
    </row>
    <row r="592" spans="1:15" x14ac:dyDescent="0.25">
      <c r="B592" s="56"/>
      <c r="C592" s="56"/>
      <c r="D592" s="56"/>
      <c r="E592" s="56"/>
      <c r="F592" s="63"/>
      <c r="G592" s="63"/>
      <c r="H592" s="63"/>
      <c r="I592" s="63"/>
      <c r="J592" s="63"/>
      <c r="K592" s="63"/>
      <c r="L592" s="63"/>
      <c r="M592" s="63"/>
      <c r="N592" s="63"/>
      <c r="O592" s="63"/>
    </row>
    <row r="593" spans="2:15" x14ac:dyDescent="0.25">
      <c r="B593" s="56"/>
      <c r="C593" s="56"/>
      <c r="D593" s="56"/>
      <c r="E593" s="56"/>
      <c r="F593" s="63"/>
      <c r="G593" s="63"/>
      <c r="H593" s="63"/>
      <c r="I593" s="63"/>
      <c r="J593" s="63"/>
      <c r="K593" s="63"/>
      <c r="L593" s="63"/>
      <c r="M593" s="63"/>
      <c r="N593" s="63"/>
      <c r="O593" s="63"/>
    </row>
    <row r="594" spans="2:15" x14ac:dyDescent="0.25">
      <c r="B594" s="56"/>
      <c r="C594" s="56"/>
      <c r="D594" s="56"/>
      <c r="E594" s="56"/>
      <c r="F594" s="63"/>
      <c r="G594" s="63"/>
      <c r="H594" s="63"/>
      <c r="I594" s="63"/>
      <c r="J594" s="63"/>
      <c r="K594" s="63"/>
      <c r="L594" s="63"/>
      <c r="M594" s="63"/>
      <c r="N594" s="63"/>
      <c r="O594" s="63"/>
    </row>
    <row r="595" spans="2:15" x14ac:dyDescent="0.25">
      <c r="B595" s="56"/>
      <c r="C595" s="56"/>
      <c r="D595" s="56"/>
      <c r="E595" s="56"/>
      <c r="F595" s="63"/>
      <c r="G595" s="63"/>
      <c r="H595" s="63"/>
      <c r="I595" s="63"/>
      <c r="J595" s="63"/>
      <c r="K595" s="63"/>
      <c r="L595" s="63"/>
      <c r="M595" s="63"/>
      <c r="N595" s="63"/>
      <c r="O595" s="63"/>
    </row>
    <row r="596" spans="2:15" x14ac:dyDescent="0.25">
      <c r="B596" s="56"/>
      <c r="C596" s="56"/>
      <c r="D596" s="56"/>
      <c r="E596" s="56"/>
      <c r="F596" s="63"/>
      <c r="G596" s="63"/>
      <c r="H596" s="63"/>
      <c r="I596" s="63"/>
      <c r="J596" s="63"/>
      <c r="K596" s="63"/>
      <c r="L596" s="63"/>
      <c r="M596" s="63"/>
      <c r="N596" s="63"/>
      <c r="O596" s="63"/>
    </row>
    <row r="597" spans="2:15" x14ac:dyDescent="0.25">
      <c r="B597" s="56"/>
      <c r="C597" s="56"/>
      <c r="D597" s="56"/>
      <c r="E597" s="56"/>
      <c r="F597" s="63"/>
      <c r="G597" s="63"/>
      <c r="H597" s="63"/>
      <c r="I597" s="63"/>
      <c r="J597" s="63"/>
      <c r="K597" s="63"/>
      <c r="L597" s="63"/>
      <c r="M597" s="63"/>
      <c r="N597" s="63"/>
      <c r="O597" s="63"/>
    </row>
    <row r="598" spans="2:15" x14ac:dyDescent="0.25">
      <c r="B598" s="56"/>
      <c r="C598" s="56"/>
      <c r="D598" s="56"/>
      <c r="E598" s="56"/>
      <c r="F598" s="63"/>
      <c r="G598" s="63"/>
      <c r="H598" s="63"/>
      <c r="I598" s="63"/>
      <c r="J598" s="63"/>
      <c r="K598" s="63"/>
      <c r="L598" s="63"/>
      <c r="M598" s="63"/>
      <c r="N598" s="63"/>
      <c r="O598" s="63"/>
    </row>
    <row r="599" spans="2:15" x14ac:dyDescent="0.25">
      <c r="B599" s="56"/>
      <c r="C599" s="56"/>
      <c r="D599" s="56"/>
      <c r="E599" s="56"/>
      <c r="F599" s="63"/>
      <c r="G599" s="63"/>
      <c r="H599" s="63"/>
      <c r="I599" s="63"/>
      <c r="J599" s="63"/>
      <c r="K599" s="63"/>
      <c r="L599" s="63"/>
      <c r="M599" s="63"/>
      <c r="N599" s="63"/>
      <c r="O599" s="63"/>
    </row>
    <row r="600" spans="2:15" x14ac:dyDescent="0.25">
      <c r="B600" s="56"/>
      <c r="C600" s="56"/>
      <c r="D600" s="56"/>
      <c r="E600" s="56"/>
      <c r="F600" s="63"/>
      <c r="G600" s="63"/>
      <c r="H600" s="63"/>
      <c r="I600" s="63"/>
      <c r="J600" s="63"/>
      <c r="K600" s="63"/>
      <c r="L600" s="63"/>
      <c r="M600" s="63"/>
      <c r="N600" s="63"/>
      <c r="O600" s="63"/>
    </row>
    <row r="601" spans="2:15" x14ac:dyDescent="0.25">
      <c r="B601" s="56"/>
      <c r="C601" s="56"/>
      <c r="D601" s="56"/>
      <c r="E601" s="56"/>
      <c r="F601" s="63"/>
      <c r="G601" s="63"/>
      <c r="H601" s="63"/>
      <c r="I601" s="63"/>
      <c r="J601" s="63"/>
      <c r="K601" s="63"/>
      <c r="L601" s="63"/>
      <c r="M601" s="63"/>
      <c r="N601" s="63"/>
      <c r="O601" s="63"/>
    </row>
    <row r="602" spans="2:15" x14ac:dyDescent="0.25">
      <c r="B602" s="56"/>
      <c r="C602" s="56"/>
      <c r="D602" s="56"/>
      <c r="E602" s="56"/>
      <c r="F602" s="63"/>
      <c r="G602" s="63"/>
      <c r="H602" s="63"/>
      <c r="I602" s="63"/>
      <c r="J602" s="63"/>
      <c r="K602" s="63"/>
      <c r="L602" s="63"/>
      <c r="M602" s="63"/>
      <c r="N602" s="63"/>
      <c r="O602" s="63"/>
    </row>
    <row r="603" spans="2:15" x14ac:dyDescent="0.25">
      <c r="B603" s="56"/>
      <c r="C603" s="56"/>
      <c r="D603" s="56"/>
      <c r="E603" s="56"/>
      <c r="F603" s="63"/>
      <c r="G603" s="63"/>
      <c r="H603" s="63"/>
      <c r="I603" s="63"/>
      <c r="J603" s="63"/>
      <c r="K603" s="63"/>
      <c r="L603" s="63"/>
      <c r="M603" s="63"/>
      <c r="N603" s="63"/>
      <c r="O603" s="63"/>
    </row>
    <row r="604" spans="2:15" x14ac:dyDescent="0.25">
      <c r="B604" s="56"/>
      <c r="C604" s="56"/>
      <c r="D604" s="56"/>
      <c r="E604" s="56"/>
      <c r="F604" s="63"/>
      <c r="G604" s="63"/>
      <c r="H604" s="63"/>
      <c r="I604" s="63"/>
      <c r="J604" s="63"/>
      <c r="K604" s="63"/>
      <c r="L604" s="63"/>
      <c r="M604" s="63"/>
      <c r="N604" s="63"/>
      <c r="O604" s="63"/>
    </row>
    <row r="605" spans="2:15" x14ac:dyDescent="0.25"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</row>
    <row r="606" spans="2:15" x14ac:dyDescent="0.25"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</row>
    <row r="607" spans="2:15" x14ac:dyDescent="0.25"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</row>
    <row r="608" spans="2:15" x14ac:dyDescent="0.25"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</row>
    <row r="609" spans="2:15" x14ac:dyDescent="0.25"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</row>
    <row r="610" spans="2:15" x14ac:dyDescent="0.25"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</row>
    <row r="611" spans="2:15" x14ac:dyDescent="0.25"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</row>
    <row r="612" spans="2:15" x14ac:dyDescent="0.25"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</row>
    <row r="613" spans="2:15" x14ac:dyDescent="0.25"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</row>
    <row r="614" spans="2:15" x14ac:dyDescent="0.25"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</row>
    <row r="615" spans="2:15" x14ac:dyDescent="0.25"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</row>
    <row r="616" spans="2:15" x14ac:dyDescent="0.25"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</row>
    <row r="617" spans="2:15" x14ac:dyDescent="0.25"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</row>
    <row r="618" spans="2:15" x14ac:dyDescent="0.25"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</row>
    <row r="619" spans="2:15" x14ac:dyDescent="0.25"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</row>
    <row r="620" spans="2:15" x14ac:dyDescent="0.25"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</row>
    <row r="621" spans="2:15" x14ac:dyDescent="0.25"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</row>
    <row r="622" spans="2:15" x14ac:dyDescent="0.25"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</row>
    <row r="623" spans="2:15" x14ac:dyDescent="0.25"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</row>
    <row r="624" spans="2:15" x14ac:dyDescent="0.25"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</row>
    <row r="625" spans="2:15" x14ac:dyDescent="0.25"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</row>
    <row r="626" spans="2:15" x14ac:dyDescent="0.25"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</row>
    <row r="627" spans="2:15" x14ac:dyDescent="0.25"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</row>
    <row r="628" spans="2:15" x14ac:dyDescent="0.25"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</row>
    <row r="629" spans="2:15" x14ac:dyDescent="0.25"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</row>
    <row r="630" spans="2:15" x14ac:dyDescent="0.25"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</row>
    <row r="631" spans="2:15" x14ac:dyDescent="0.25"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</row>
    <row r="632" spans="2:15" x14ac:dyDescent="0.25"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</row>
    <row r="633" spans="2:15" x14ac:dyDescent="0.25"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</row>
    <row r="634" spans="2:15" x14ac:dyDescent="0.25"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</row>
    <row r="635" spans="2:15" x14ac:dyDescent="0.25"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</row>
    <row r="636" spans="2:15" x14ac:dyDescent="0.25"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</row>
    <row r="637" spans="2:15" x14ac:dyDescent="0.25"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</row>
    <row r="638" spans="2:15" x14ac:dyDescent="0.25"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</row>
    <row r="639" spans="2:15" x14ac:dyDescent="0.25"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</row>
    <row r="640" spans="2:15" x14ac:dyDescent="0.25"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</row>
    <row r="641" spans="2:15" x14ac:dyDescent="0.25"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</row>
    <row r="642" spans="2:15" x14ac:dyDescent="0.25"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</row>
    <row r="643" spans="2:15" x14ac:dyDescent="0.25"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</row>
  </sheetData>
  <hyperlinks>
    <hyperlink ref="K441" location="'Debt Schedule'!E188" display="'Debt Schedule'!E188" xr:uid="{F6810A4C-7380-4121-AC67-38D822C45EC8}"/>
    <hyperlink ref="L441:O441" location="'Debt Schedule'!E188" display="'Debt Schedule'!E188" xr:uid="{016D18EC-A4AA-4193-8A95-51A207CCC293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Drop Down 1">
              <controlPr defaultSize="0" autoLine="0" autoPict="0">
                <anchor moveWithCells="1">
                  <from>
                    <xdr:col>2</xdr:col>
                    <xdr:colOff>4572000</xdr:colOff>
                    <xdr:row>9</xdr:row>
                    <xdr:rowOff>0</xdr:rowOff>
                  </from>
                  <to>
                    <xdr:col>4</xdr:col>
                    <xdr:colOff>209550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Drop Down 2">
              <controlPr defaultSize="0" autoLine="0" autoPict="0">
                <anchor moveWithCells="1">
                  <from>
                    <xdr:col>3</xdr:col>
                    <xdr:colOff>0</xdr:colOff>
                    <xdr:row>14</xdr:row>
                    <xdr:rowOff>180975</xdr:rowOff>
                  </from>
                  <to>
                    <xdr:col>4</xdr:col>
                    <xdr:colOff>180975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Drop Down 3">
              <controlPr defaultSize="0" autoLine="0" autoPict="0">
                <anchor moveWithCells="1">
                  <from>
                    <xdr:col>3</xdr:col>
                    <xdr:colOff>0</xdr:colOff>
                    <xdr:row>21</xdr:row>
                    <xdr:rowOff>0</xdr:rowOff>
                  </from>
                  <to>
                    <xdr:col>4</xdr:col>
                    <xdr:colOff>209550</xdr:colOff>
                    <xdr:row>78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Drop Down 4">
              <controlPr defaultSize="0" autoLine="0" autoPict="0">
                <anchor moveWithCells="1">
                  <from>
                    <xdr:col>3</xdr:col>
                    <xdr:colOff>9525</xdr:colOff>
                    <xdr:row>26</xdr:row>
                    <xdr:rowOff>180975</xdr:rowOff>
                  </from>
                  <to>
                    <xdr:col>4</xdr:col>
                    <xdr:colOff>200025</xdr:colOff>
                    <xdr:row>78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F0AA-6B1F-4AAD-8B2C-28029A07872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326E43-2D56-4FA0-999B-49FA2C9187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Model</vt:lpstr>
      <vt:lpstr>Term Loans</vt:lpstr>
      <vt:lpstr>Spare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Kamble</dc:creator>
  <cp:lastModifiedBy>Sahil Kamble</cp:lastModifiedBy>
  <cp:lastPrinted>2026-07-05T09:10:49Z</cp:lastPrinted>
  <dcterms:created xsi:type="dcterms:W3CDTF">2026-06-01T14:55:23Z</dcterms:created>
  <dcterms:modified xsi:type="dcterms:W3CDTF">2026-10-22T12:52:15Z</dcterms:modified>
</cp:coreProperties>
</file>